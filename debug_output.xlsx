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8440" tabRatio="600" firstSheet="0" activeTab="0" autoFilterDateGrouping="1"/>
  </bookViews>
  <sheets>
    <sheet xmlns:r="http://schemas.openxmlformats.org/officeDocument/2006/relationships" name="エキスパートハブ様" sheetId="1" state="visible" r:id="rId1"/>
  </sheets>
  <definedNames/>
  <calcPr calcId="191029" fullCalcOnLoad="1"/>
</workbook>
</file>

<file path=xl/styles.xml><?xml version="1.0" encoding="utf-8"?>
<styleSheet xmlns="http://schemas.openxmlformats.org/spreadsheetml/2006/main">
  <numFmts count="1">
    <numFmt numFmtId="164" formatCode="0&quot;点&quot;"/>
  </numFmts>
  <fonts count="33">
    <font>
      <name val="Arial"/>
      <color rgb="FF000000"/>
      <sz val="10"/>
      <scheme val="minor"/>
    </font>
    <font>
      <name val="Arial"/>
      <family val="2"/>
      <b val="1"/>
      <color rgb="FF000000"/>
      <sz val="13"/>
    </font>
    <font>
      <name val="Arial"/>
      <family val="2"/>
      <color rgb="FF000000"/>
      <sz val="10"/>
    </font>
    <font>
      <name val="Arial"/>
      <family val="2"/>
      <sz val="10"/>
    </font>
    <font>
      <name val="&quot;Meiryo UI&quot;"/>
      <color rgb="FF000000"/>
      <sz val="10"/>
    </font>
    <font>
      <name val="&quot;Meiryo UI&quot;"/>
      <color rgb="FFFFFFFF"/>
      <sz val="10"/>
    </font>
    <font>
      <name val="Arial"/>
      <family val="2"/>
      <b val="1"/>
      <color theme="1"/>
      <sz val="14"/>
      <scheme val="minor"/>
    </font>
    <font>
      <name val="Arial"/>
      <family val="2"/>
      <b val="1"/>
      <color rgb="FF000000"/>
      <sz val="10"/>
    </font>
    <font>
      <name val="Arial"/>
      <family val="2"/>
      <color rgb="FFFFFFFF"/>
      <sz val="10"/>
    </font>
    <font>
      <name val="Arial"/>
      <family val="2"/>
      <color rgb="FF000000"/>
      <sz val="10"/>
      <scheme val="minor"/>
    </font>
    <font>
      <name val="Arial"/>
      <family val="2"/>
      <color rgb="FF000000"/>
      <sz val="10"/>
      <u val="single"/>
    </font>
    <font>
      <name val="Arial"/>
      <family val="2"/>
      <color rgb="FFFFFFFF"/>
      <sz val="10"/>
      <scheme val="minor"/>
    </font>
    <font>
      <name val="Arial"/>
      <family val="2"/>
      <b val="1"/>
      <color rgb="FF000000"/>
      <sz val="10"/>
      <scheme val="minor"/>
    </font>
    <font>
      <name val="Arial"/>
      <family val="2"/>
      <color rgb="FF0000FF"/>
      <sz val="10"/>
      <u val="single"/>
    </font>
    <font>
      <name val="Arial"/>
      <family val="2"/>
      <b val="1"/>
      <color theme="1"/>
      <sz val="10"/>
      <scheme val="minor"/>
    </font>
    <font>
      <name val="Arial"/>
      <family val="2"/>
      <color theme="1"/>
      <sz val="10"/>
      <u val="single"/>
    </font>
    <font>
      <name val="Arial"/>
      <family val="2"/>
      <b val="1"/>
      <color theme="0"/>
      <sz val="12"/>
      <scheme val="minor"/>
    </font>
    <font>
      <name val="Arial"/>
      <family val="2"/>
      <b val="1"/>
      <color rgb="FF000000"/>
      <sz val="18"/>
    </font>
    <font>
      <name val="Arial"/>
      <family val="2"/>
      <color theme="1"/>
      <sz val="10"/>
      <scheme val="minor"/>
    </font>
    <font>
      <name val="&quot;Meiryo UI&quot;"/>
      <b val="1"/>
      <color theme="0"/>
      <sz val="10"/>
    </font>
    <font>
      <name val="Arial"/>
      <family val="2"/>
      <b val="1"/>
      <color rgb="FFFFFFFF"/>
      <sz val="10"/>
    </font>
    <font>
      <name val="Arial"/>
      <family val="2"/>
      <color theme="1"/>
      <sz val="10"/>
    </font>
    <font>
      <name val="&quot;Meiryo UI&quot;"/>
      <b val="1"/>
      <color rgb="FFFFFFFF"/>
      <sz val="10"/>
    </font>
    <font>
      <name val="Arial"/>
      <family val="2"/>
      <b val="1"/>
      <color theme="0"/>
      <sz val="8"/>
    </font>
    <font>
      <name val="Arial"/>
      <family val="2"/>
      <color rgb="FFFFFFFF"/>
      <sz val="10"/>
    </font>
    <font>
      <name val="Arial"/>
      <family val="2"/>
      <b val="1"/>
      <color theme="0"/>
      <sz val="10"/>
    </font>
    <font>
      <name val="Arial"/>
      <family val="2"/>
      <b val="1"/>
      <color rgb="FF000000"/>
      <sz val="24"/>
    </font>
    <font>
      <name val="Arial"/>
      <family val="2"/>
      <b val="1"/>
      <color rgb="FF000000"/>
      <sz val="12"/>
    </font>
    <font>
      <name val="Arial"/>
      <family val="2"/>
      <b val="1"/>
      <color rgb="FFFFFFFF"/>
      <sz val="17"/>
    </font>
    <font>
      <name val="Arial"/>
      <family val="2"/>
      <b val="1"/>
      <color rgb="FF000000"/>
      <sz val="11"/>
    </font>
    <font>
      <name val="Arial"/>
      <family val="2"/>
      <color rgb="FF000000"/>
      <sz val="10"/>
      <u val="single"/>
    </font>
    <font>
      <name val="Arial"/>
      <family val="2"/>
      <b val="1"/>
      <color rgb="FFFF0000"/>
      <sz val="12"/>
    </font>
    <font>
      <name val="Arial"/>
      <charset val="128"/>
      <family val="3"/>
      <sz val="6"/>
      <scheme val="minor"/>
    </font>
  </fonts>
  <fills count="15">
    <fill>
      <patternFill/>
    </fill>
    <fill>
      <patternFill patternType="gray125"/>
    </fill>
    <fill>
      <patternFill patternType="solid">
        <fgColor rgb="FFD9D9D9"/>
        <bgColor rgb="FFD9D9D9"/>
      </patternFill>
    </fill>
    <fill>
      <patternFill patternType="solid">
        <fgColor rgb="FFF4CCCC"/>
        <bgColor rgb="FFF4CCCC"/>
      </patternFill>
    </fill>
    <fill>
      <patternFill patternType="solid">
        <fgColor rgb="FF000000"/>
        <bgColor rgb="FF000000"/>
      </patternFill>
    </fill>
    <fill>
      <patternFill patternType="solid">
        <fgColor rgb="FFD9D2E9"/>
        <bgColor rgb="FFD9D2E9"/>
      </patternFill>
    </fill>
    <fill>
      <patternFill patternType="solid">
        <fgColor rgb="FF999999"/>
        <bgColor rgb="FF999999"/>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B6D7A8"/>
        <bgColor rgb="FFB6D7A8"/>
      </patternFill>
    </fill>
  </fills>
  <borders count="78">
    <border>
      <left/>
      <right/>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bottom style="dotted">
        <color rgb="FF000000"/>
      </bottom>
      <diagonal/>
    </border>
    <border>
      <left style="thick">
        <color rgb="FF000000"/>
      </left>
      <right style="thick">
        <color rgb="FF000000"/>
      </right>
      <top style="dotted">
        <color rgb="FF000000"/>
      </top>
      <bottom style="dotted">
        <color rgb="FF000000"/>
      </bottom>
      <diagonal/>
    </border>
    <border>
      <left style="thick">
        <color rgb="FF000000"/>
      </left>
      <right style="thick">
        <color rgb="FF000000"/>
      </right>
      <top style="dotted">
        <color rgb="FF000000"/>
      </top>
      <bottom style="thick">
        <color rgb="FF000000"/>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thick">
        <color rgb="FF000000"/>
      </right>
      <top style="medium">
        <color rgb="FF000000"/>
      </top>
      <bottom/>
      <diagonal/>
    </border>
    <border>
      <left style="thick">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top style="medium">
        <color rgb="FF000000"/>
      </top>
      <bottom style="dotted">
        <color rgb="FF000000"/>
      </bottom>
      <diagonal/>
    </border>
    <border>
      <left/>
      <right style="thin">
        <color rgb="FF000000"/>
      </right>
      <top style="medium">
        <color rgb="FF000000"/>
      </top>
      <bottom style="dotted">
        <color rgb="FF000000"/>
      </bottom>
      <diagonal/>
    </border>
    <border>
      <left/>
      <right/>
      <top style="medium">
        <color rgb="FF000000"/>
      </top>
      <bottom style="dotted">
        <color rgb="FF000000"/>
      </bottom>
      <diagonal/>
    </border>
    <border>
      <left/>
      <right style="thick">
        <color rgb="FF000000"/>
      </right>
      <top style="medium">
        <color rgb="FF000000"/>
      </top>
      <bottom style="dotted">
        <color rgb="FF000000"/>
      </bottom>
      <diagonal/>
    </border>
    <border>
      <left style="thick">
        <color rgb="FF000000"/>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style="thick">
        <color rgb="FF000000"/>
      </left>
      <right/>
      <top style="dotted">
        <color rgb="FF000000"/>
      </top>
      <bottom style="thick">
        <color rgb="FF000000"/>
      </bottom>
      <diagonal/>
    </border>
    <border>
      <left/>
      <right style="thin">
        <color rgb="FF000000"/>
      </right>
      <top style="dotted">
        <color rgb="FF000000"/>
      </top>
      <bottom style="thick">
        <color rgb="FF000000"/>
      </bottom>
      <diagonal/>
    </border>
    <border>
      <left/>
      <right/>
      <top style="dotted">
        <color rgb="FF000000"/>
      </top>
      <bottom style="thick">
        <color rgb="FF000000"/>
      </bottom>
      <diagonal/>
    </border>
    <border>
      <left/>
      <right style="thick">
        <color rgb="FF000000"/>
      </right>
      <top style="dotted">
        <color rgb="FF000000"/>
      </top>
      <bottom style="thick">
        <color rgb="FF000000"/>
      </bottom>
      <diagonal/>
    </border>
    <border>
      <left/>
      <right/>
      <top/>
      <bottom style="thick">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999999"/>
      </left>
      <right style="thin">
        <color rgb="FF999999"/>
      </right>
      <top style="thin">
        <color rgb="FF999999"/>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999999"/>
      </left>
      <right style="thin">
        <color rgb="FF000000"/>
      </right>
      <top style="thin">
        <color rgb="FF999999"/>
      </top>
      <bottom style="thin">
        <color rgb="FF000000"/>
      </bottom>
      <diagonal/>
    </border>
    <border>
      <left style="thin">
        <color rgb="FF000000"/>
      </left>
      <right style="thin">
        <color rgb="FF999999"/>
      </right>
      <top style="thin">
        <color rgb="FF999999"/>
      </top>
      <bottom style="thin">
        <color rgb="FF000000"/>
      </bottom>
      <diagonal/>
    </border>
    <border>
      <left style="thin">
        <color rgb="FF999999"/>
      </left>
      <right style="thin">
        <color rgb="FF000000"/>
      </right>
      <top style="thin">
        <color rgb="FF000000"/>
      </top>
      <bottom style="thin">
        <color rgb="FF000000"/>
      </bottom>
      <diagonal/>
    </border>
    <border>
      <left style="thin">
        <color rgb="FF000000"/>
      </left>
      <right style="thin">
        <color rgb="FF999999"/>
      </right>
      <top style="thin">
        <color rgb="FF000000"/>
      </top>
      <bottom style="thin">
        <color rgb="FF000000"/>
      </bottom>
      <diagonal/>
    </border>
    <border>
      <left style="thin">
        <color rgb="FF999999"/>
      </left>
      <right style="thin">
        <color rgb="FF000000"/>
      </right>
      <top style="thin">
        <color rgb="FF000000"/>
      </top>
      <bottom/>
      <diagonal/>
    </border>
    <border>
      <left style="thin">
        <color rgb="FF000000"/>
      </left>
      <right style="thin">
        <color rgb="FF999999"/>
      </right>
      <top style="thin">
        <color rgb="FF000000"/>
      </top>
      <bottom/>
      <diagonal/>
    </border>
    <border>
      <left style="thin">
        <color rgb="FF000000"/>
      </left>
      <right style="thin">
        <color rgb="FF000000"/>
      </right>
      <top style="thin">
        <color rgb="FF000000"/>
      </top>
      <bottom style="thin">
        <color rgb="FF000000"/>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right/>
      <top style="dotted">
        <color rgb="FF000000"/>
      </top>
      <bottom/>
      <diagonal/>
    </border>
    <border>
      <left/>
      <right style="thick">
        <color rgb="FF000000"/>
      </right>
      <top style="dotted">
        <color rgb="FF000000"/>
      </top>
      <bottom/>
      <diagonal/>
    </border>
    <border>
      <left style="thick">
        <color rgb="FF000000"/>
      </left>
      <right style="thin">
        <color rgb="FF000000"/>
      </right>
      <top style="dotted">
        <color rgb="FF000000"/>
      </top>
      <bottom style="dotted">
        <color rgb="FF000000"/>
      </bottom>
      <diagonal/>
    </border>
    <border>
      <left/>
      <right style="thin">
        <color rgb="FF000000"/>
      </right>
      <top style="dotted">
        <color rgb="FF000000"/>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medium">
        <color rgb="FF000000"/>
      </right>
      <top style="medium">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style="medium">
        <color rgb="FF000000"/>
      </top>
      <bottom/>
      <diagonal/>
    </border>
    <border>
      <left style="thick">
        <color rgb="FF000000"/>
      </left>
      <right style="medium">
        <color rgb="FF000000"/>
      </right>
      <top style="medium">
        <color rgb="FF000000"/>
      </top>
      <bottom style="medium">
        <color rgb="FF000000"/>
      </bottom>
      <diagonal/>
    </border>
    <border>
      <left style="thick">
        <color rgb="FF000000"/>
      </left>
      <right style="thin">
        <color rgb="FF000000"/>
      </right>
      <top style="medium">
        <color rgb="FF000000"/>
      </top>
      <bottom style="dotted">
        <color rgb="FF000000"/>
      </bottom>
      <diagonal/>
    </border>
    <border>
      <left/>
      <right style="thin">
        <color rgb="FF000000"/>
      </right>
      <top style="medium">
        <color rgb="FF000000"/>
      </top>
      <bottom/>
      <diagonal/>
    </border>
    <border>
      <left style="thick">
        <color rgb="FF000000"/>
      </left>
      <right style="thin">
        <color rgb="FF000000"/>
      </right>
      <top style="dotted">
        <color rgb="FF000000"/>
      </top>
      <bottom style="thick">
        <color rgb="FF000000"/>
      </bottom>
      <diagonal/>
    </border>
  </borders>
  <cellStyleXfs count="1">
    <xf numFmtId="0" fontId="0" fillId="0" borderId="0"/>
  </cellStyleXfs>
  <cellXfs count="233">
    <xf numFmtId="0" fontId="0" fillId="0" borderId="0" pivotButton="0" quotePrefix="0" xfId="0"/>
    <xf numFmtId="0" fontId="1" fillId="2" borderId="1" applyAlignment="1" pivotButton="0" quotePrefix="0" xfId="0">
      <alignment horizontal="righ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7" fillId="2" borderId="1" applyAlignment="1" pivotButton="0" quotePrefix="0" xfId="0">
      <alignment horizontal="right" vertical="center"/>
    </xf>
    <xf numFmtId="0" fontId="8" fillId="0" borderId="0" applyAlignment="1" pivotButton="0" quotePrefix="0" xfId="0">
      <alignment horizontal="right" vertical="center"/>
    </xf>
    <xf numFmtId="0" fontId="9" fillId="0" borderId="0" applyAlignment="1" pivotButton="0" quotePrefix="0" xfId="0">
      <alignment horizontal="center" vertical="center"/>
    </xf>
    <xf numFmtId="164" fontId="4" fillId="0" borderId="0" applyAlignment="1" pivotButton="0" quotePrefix="0" xfId="0">
      <alignment horizontal="center" vertical="center"/>
    </xf>
    <xf numFmtId="0" fontId="7" fillId="3" borderId="5" applyAlignment="1" pivotButton="0" quotePrefix="0" xfId="0">
      <alignment horizontal="center" vertical="center"/>
    </xf>
    <xf numFmtId="0" fontId="7" fillId="3" borderId="6" applyAlignment="1" pivotButton="0" quotePrefix="0" xfId="0">
      <alignment horizontal="center" vertical="center"/>
    </xf>
    <xf numFmtId="164" fontId="2" fillId="0" borderId="0" applyAlignment="1" pivotButton="0" quotePrefix="0" xfId="0">
      <alignment horizontal="center" vertical="center"/>
    </xf>
    <xf numFmtId="0" fontId="7" fillId="0" borderId="7" applyAlignment="1" pivotButton="0" quotePrefix="0" xfId="0">
      <alignment horizontal="left" vertical="center"/>
    </xf>
    <xf numFmtId="0" fontId="11" fillId="0" borderId="0" applyAlignment="1" pivotButton="0" quotePrefix="0" xfId="0">
      <alignment horizontal="right"/>
    </xf>
    <xf numFmtId="0" fontId="7" fillId="0" borderId="8" applyAlignment="1" pivotButton="0" quotePrefix="0" xfId="0">
      <alignment horizontal="left" vertical="center"/>
    </xf>
    <xf numFmtId="0" fontId="11" fillId="0" borderId="0" pivotButton="0" quotePrefix="0" xfId="0"/>
    <xf numFmtId="0" fontId="9" fillId="0" borderId="0" pivotButton="0" quotePrefix="0" xfId="0"/>
    <xf numFmtId="0" fontId="12" fillId="0" borderId="0" pivotButton="0" quotePrefix="0" xfId="0"/>
    <xf numFmtId="0" fontId="14" fillId="2" borderId="1" applyAlignment="1" pivotButton="0" quotePrefix="0" xfId="0">
      <alignment horizontal="right" vertical="center"/>
    </xf>
    <xf numFmtId="0" fontId="16" fillId="4" borderId="1" applyAlignment="1" pivotButton="0" quotePrefix="0" xfId="0">
      <alignment horizontal="right" vertical="center"/>
    </xf>
    <xf numFmtId="0" fontId="7" fillId="5" borderId="1" applyAlignment="1" pivotButton="0" quotePrefix="0" xfId="0">
      <alignment horizontal="right" vertical="center"/>
    </xf>
    <xf numFmtId="0" fontId="7" fillId="7" borderId="1" applyAlignment="1" pivotButton="0" quotePrefix="0" xfId="0">
      <alignment horizontal="right" vertical="center"/>
    </xf>
    <xf numFmtId="0" fontId="8" fillId="0" borderId="0" applyAlignment="1" pivotButton="0" quotePrefix="0" xfId="0">
      <alignment horizontal="center" vertical="center"/>
    </xf>
    <xf numFmtId="0" fontId="7" fillId="8" borderId="1" applyAlignment="1" pivotButton="0" quotePrefix="0" xfId="0">
      <alignment horizontal="right" vertical="center"/>
    </xf>
    <xf numFmtId="0" fontId="7" fillId="3" borderId="1" applyAlignment="1" pivotButton="0" quotePrefix="0" xfId="0">
      <alignment horizontal="right" vertical="center"/>
    </xf>
    <xf numFmtId="0" fontId="7" fillId="9" borderId="1" applyAlignment="1" pivotButton="0" quotePrefix="0" xfId="0">
      <alignment horizontal="right" vertical="center"/>
    </xf>
    <xf numFmtId="0" fontId="18" fillId="0" borderId="0" applyAlignment="1" pivotButton="0" quotePrefix="0" xfId="0">
      <alignment horizontal="center" vertical="center"/>
    </xf>
    <xf numFmtId="0" fontId="7" fillId="0" borderId="0" applyAlignment="1" pivotButton="0" quotePrefix="0" xfId="0">
      <alignment horizontal="center" vertical="center"/>
    </xf>
    <xf numFmtId="0" fontId="7" fillId="0" borderId="9" applyAlignment="1" pivotButton="0" quotePrefix="0" xfId="0">
      <alignment horizontal="left" vertical="center"/>
    </xf>
    <xf numFmtId="0" fontId="11" fillId="0" borderId="0" applyAlignment="1" pivotButton="0" quotePrefix="0" xfId="0">
      <alignment horizontal="center" vertical="center"/>
    </xf>
    <xf numFmtId="0" fontId="7" fillId="10" borderId="5" applyAlignment="1" pivotButton="0" quotePrefix="0" xfId="0">
      <alignment horizontal="center" vertical="center" wrapText="1"/>
    </xf>
    <xf numFmtId="0" fontId="7" fillId="10" borderId="6" applyAlignment="1" pivotButton="0" quotePrefix="0" xfId="0">
      <alignment horizontal="center" vertical="center" wrapText="1"/>
    </xf>
    <xf numFmtId="0" fontId="2" fillId="0" borderId="0" applyAlignment="1" pivotButton="0" quotePrefix="0" xfId="0">
      <alignment horizontal="right" vertical="center"/>
    </xf>
    <xf numFmtId="0" fontId="5" fillId="0" borderId="0" applyAlignment="1" pivotButton="0" quotePrefix="0" xfId="0">
      <alignment horizontal="left" vertical="center"/>
    </xf>
    <xf numFmtId="0" fontId="20" fillId="0" borderId="0" applyAlignment="1" pivotButton="0" quotePrefix="0" xfId="0">
      <alignment horizontal="center" vertical="center"/>
    </xf>
    <xf numFmtId="0" fontId="21" fillId="0" borderId="24" pivotButton="0" quotePrefix="0" xfId="0"/>
    <xf numFmtId="0" fontId="21" fillId="0" borderId="0" pivotButton="0" quotePrefix="0" xfId="0"/>
    <xf numFmtId="0" fontId="21" fillId="0" borderId="43" pivotButton="0" quotePrefix="0" xfId="0"/>
    <xf numFmtId="0" fontId="22" fillId="0" borderId="0" applyAlignment="1" pivotButton="0" quotePrefix="0" xfId="0">
      <alignment horizontal="center" vertical="center"/>
    </xf>
    <xf numFmtId="0" fontId="23" fillId="0" borderId="0" applyAlignment="1" pivotButton="0" quotePrefix="0" xfId="0">
      <alignment horizontal="center" vertical="center"/>
    </xf>
    <xf numFmtId="0" fontId="24" fillId="0" borderId="0" applyAlignment="1" pivotButton="0" quotePrefix="0" xfId="0">
      <alignment horizontal="center"/>
    </xf>
    <xf numFmtId="0" fontId="24" fillId="0" borderId="0" pivotButton="0" quotePrefix="0" xfId="0"/>
    <xf numFmtId="0" fontId="25" fillId="0" borderId="0" applyAlignment="1" pivotButton="0" quotePrefix="0" xfId="0">
      <alignment horizontal="center" vertical="center"/>
    </xf>
    <xf numFmtId="0" fontId="19" fillId="0" borderId="0" applyAlignment="1" pivotButton="0" quotePrefix="0" xfId="0">
      <alignment horizontal="center" vertical="center"/>
    </xf>
    <xf numFmtId="0" fontId="19" fillId="4" borderId="1" applyAlignment="1" pivotButton="0" quotePrefix="0" xfId="0">
      <alignment horizontal="center" vertical="center"/>
    </xf>
    <xf numFmtId="0" fontId="23" fillId="4" borderId="52" applyAlignment="1" pivotButton="0" quotePrefix="0" xfId="0">
      <alignment horizontal="center" vertical="center"/>
    </xf>
    <xf numFmtId="0" fontId="20" fillId="4" borderId="1" applyAlignment="1" pivotButton="0" quotePrefix="0" xfId="0">
      <alignment horizontal="center" vertical="center"/>
    </xf>
    <xf numFmtId="0" fontId="20" fillId="4" borderId="2" applyAlignment="1" pivotButton="0" quotePrefix="0" xfId="0">
      <alignment horizontal="center" vertical="center"/>
    </xf>
    <xf numFmtId="3" fontId="21" fillId="0" borderId="4" applyAlignment="1" pivotButton="0" quotePrefix="0" xfId="0">
      <alignment horizontal="center"/>
    </xf>
    <xf numFmtId="0" fontId="2" fillId="0" borderId="1" applyAlignment="1" pivotButton="0" quotePrefix="0" xfId="0">
      <alignment horizontal="center" vertical="center"/>
    </xf>
    <xf numFmtId="0" fontId="4" fillId="0" borderId="1"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left" vertical="top" wrapText="1"/>
    </xf>
    <xf numFmtId="0" fontId="4" fillId="0" borderId="1" applyAlignment="1" pivotButton="0" quotePrefix="0" xfId="0">
      <alignment horizontal="left" vertical="top" wrapText="1"/>
    </xf>
    <xf numFmtId="3" fontId="21" fillId="0" borderId="1" applyAlignment="1" pivotButton="0" quotePrefix="0" xfId="0">
      <alignment horizontal="center"/>
    </xf>
    <xf numFmtId="3" fontId="2" fillId="0" borderId="4" applyAlignment="1" pivotButton="0" quotePrefix="0" xfId="0">
      <alignment horizontal="center" vertical="center"/>
    </xf>
    <xf numFmtId="0" fontId="4" fillId="0" borderId="2" applyAlignment="1" pivotButton="0" quotePrefix="0" xfId="0">
      <alignment horizontal="left" vertical="center"/>
    </xf>
    <xf numFmtId="0" fontId="4" fillId="0" borderId="56" applyAlignment="1" pivotButton="0" quotePrefix="0" xfId="0">
      <alignment horizontal="left" vertical="center" wrapText="1"/>
    </xf>
    <xf numFmtId="0" fontId="4" fillId="0" borderId="57" applyAlignment="1" pivotButton="0" quotePrefix="0" xfId="0">
      <alignment horizontal="left" vertical="center"/>
    </xf>
    <xf numFmtId="0" fontId="2" fillId="0" borderId="58" applyAlignment="1" pivotButton="0" quotePrefix="0" xfId="0">
      <alignment horizontal="left" vertical="center" wrapText="1"/>
    </xf>
    <xf numFmtId="0" fontId="2" fillId="0" borderId="59" applyAlignment="1" pivotButton="0" quotePrefix="0" xfId="0">
      <alignment horizontal="left" vertical="center"/>
    </xf>
    <xf numFmtId="0" fontId="4" fillId="0" borderId="58" applyAlignment="1" pivotButton="0" quotePrefix="0" xfId="0">
      <alignment horizontal="left" vertical="center" wrapText="1"/>
    </xf>
    <xf numFmtId="0" fontId="4" fillId="0" borderId="59" applyAlignment="1" pivotButton="0" quotePrefix="0" xfId="0">
      <alignment horizontal="left" vertical="center"/>
    </xf>
    <xf numFmtId="0" fontId="2" fillId="0" borderId="60" applyAlignment="1" pivotButton="0" quotePrefix="0" xfId="0">
      <alignment horizontal="left" vertical="center" wrapText="1"/>
    </xf>
    <xf numFmtId="0" fontId="2" fillId="0" borderId="61" applyAlignment="1" pivotButton="0" quotePrefix="0" xfId="0">
      <alignment horizontal="left" vertical="center"/>
    </xf>
    <xf numFmtId="0" fontId="4" fillId="0" borderId="62" applyAlignment="1" pivotButton="0" quotePrefix="0" xfId="0">
      <alignment horizontal="left" vertical="center"/>
    </xf>
    <xf numFmtId="0" fontId="2" fillId="0" borderId="62" applyAlignment="1" pivotButton="0" quotePrefix="0" xfId="0">
      <alignment horizontal="left" vertical="center"/>
    </xf>
    <xf numFmtId="0" fontId="2" fillId="7" borderId="63" applyAlignment="1" pivotButton="0" quotePrefix="0" xfId="0">
      <alignment horizontal="center" vertical="center"/>
    </xf>
    <xf numFmtId="3" fontId="2" fillId="0" borderId="1" applyAlignment="1" pivotButton="0" quotePrefix="0" xfId="0">
      <alignment horizontal="center" vertical="center"/>
    </xf>
    <xf numFmtId="0" fontId="30" fillId="0" borderId="1" applyAlignment="1" pivotButton="0" quotePrefix="0" xfId="0">
      <alignment horizontal="left" vertical="center"/>
    </xf>
    <xf numFmtId="0" fontId="29" fillId="14" borderId="13" applyAlignment="1" pivotButton="0" quotePrefix="0" xfId="0">
      <alignment horizontal="center" vertical="center"/>
    </xf>
    <xf numFmtId="0" fontId="7" fillId="0" borderId="7" applyAlignment="1" pivotButton="0" quotePrefix="0" xfId="0">
      <alignment horizontal="fill" vertical="center"/>
    </xf>
    <xf numFmtId="0" fontId="7" fillId="0" borderId="8" applyAlignment="1" pivotButton="0" quotePrefix="0" xfId="0">
      <alignment horizontal="fill" vertical="center"/>
    </xf>
    <xf numFmtId="0" fontId="2" fillId="0" borderId="2" applyAlignment="1" pivotButton="0" quotePrefix="0" xfId="0">
      <alignment horizontal="left" vertical="center"/>
    </xf>
    <xf numFmtId="0" fontId="3" fillId="0" borderId="3" pivotButton="0" quotePrefix="0" xfId="0"/>
    <xf numFmtId="0" fontId="3" fillId="0" borderId="4" pivotButton="0" quotePrefix="0" xfId="0"/>
    <xf numFmtId="0" fontId="2" fillId="9" borderId="63" applyAlignment="1" pivotButton="0" quotePrefix="0" xfId="0">
      <alignment horizontal="center" vertical="center"/>
    </xf>
    <xf numFmtId="0" fontId="3" fillId="0" borderId="63" pivotButton="0" quotePrefix="0" xfId="0"/>
    <xf numFmtId="0" fontId="3" fillId="0" borderId="64" pivotButton="0" quotePrefix="0" xfId="0"/>
    <xf numFmtId="0" fontId="2" fillId="9" borderId="52" applyAlignment="1" pivotButton="0" quotePrefix="0" xfId="0">
      <alignment horizontal="center" vertical="center"/>
    </xf>
    <xf numFmtId="0" fontId="21" fillId="0" borderId="2" pivotButton="0" quotePrefix="0" xfId="0"/>
    <xf numFmtId="0" fontId="29" fillId="8" borderId="52" applyAlignment="1" pivotButton="0" quotePrefix="0" xfId="0">
      <alignment horizontal="center" vertical="center"/>
    </xf>
    <xf numFmtId="0" fontId="4" fillId="0" borderId="2" applyAlignment="1" pivotButton="0" quotePrefix="0" xfId="0">
      <alignment horizontal="left" vertical="center"/>
    </xf>
    <xf numFmtId="0" fontId="21" fillId="12" borderId="52" applyAlignment="1" pivotButton="0" quotePrefix="0" xfId="0">
      <alignment horizontal="center" vertical="center"/>
    </xf>
    <xf numFmtId="0" fontId="28" fillId="4" borderId="15" applyAlignment="1" pivotButton="0" quotePrefix="0" xfId="0">
      <alignment horizontal="center" vertical="center"/>
    </xf>
    <xf numFmtId="0" fontId="3" fillId="0" borderId="16" pivotButton="0" quotePrefix="0" xfId="0"/>
    <xf numFmtId="0" fontId="3" fillId="0" borderId="17" pivotButton="0" quotePrefix="0" xfId="0"/>
    <xf numFmtId="0" fontId="29" fillId="13" borderId="10" applyAlignment="1" pivotButton="0" quotePrefix="0" xfId="0">
      <alignment horizontal="center" vertical="center"/>
    </xf>
    <xf numFmtId="0" fontId="3" fillId="0" borderId="13" pivotButton="0" quotePrefix="0" xfId="0"/>
    <xf numFmtId="0" fontId="2" fillId="3" borderId="53" applyAlignment="1" pivotButton="0" quotePrefix="0" xfId="0">
      <alignment horizontal="center" vertical="center"/>
    </xf>
    <xf numFmtId="0" fontId="3" fillId="0" borderId="54" pivotButton="0" quotePrefix="0" xfId="0"/>
    <xf numFmtId="0" fontId="3" fillId="0" borderId="55" pivotButton="0" quotePrefix="0" xfId="0"/>
    <xf numFmtId="0" fontId="2" fillId="11" borderId="52" applyAlignment="1" pivotButton="0" quotePrefix="0" xfId="0">
      <alignment horizontal="center" vertical="center"/>
    </xf>
    <xf numFmtId="0" fontId="21" fillId="0" borderId="37" pivotButton="0" quotePrefix="0" xfId="0"/>
    <xf numFmtId="0" fontId="3" fillId="0" borderId="37" pivotButton="0" quotePrefix="0" xfId="0"/>
    <xf numFmtId="0" fontId="3" fillId="0" borderId="38" pivotButton="0" quotePrefix="0" xfId="0"/>
    <xf numFmtId="0" fontId="2" fillId="0" borderId="35" applyAlignment="1" pivotButton="0" quotePrefix="0" xfId="0">
      <alignment horizontal="left" vertical="center"/>
    </xf>
    <xf numFmtId="0" fontId="3" fillId="0" borderId="36" pivotButton="0" quotePrefix="0" xfId="0"/>
    <xf numFmtId="0" fontId="2" fillId="0" borderId="39" applyAlignment="1" pivotButton="0" quotePrefix="0" xfId="0">
      <alignment horizontal="left" vertical="center"/>
    </xf>
    <xf numFmtId="0" fontId="3" fillId="0" borderId="40" pivotButton="0" quotePrefix="0" xfId="0"/>
    <xf numFmtId="0" fontId="2" fillId="5" borderId="53" applyAlignment="1" pivotButton="0" quotePrefix="0" xfId="0">
      <alignment horizontal="center" vertical="center"/>
    </xf>
    <xf numFmtId="0" fontId="29" fillId="7" borderId="10" applyAlignment="1" pivotButton="0" quotePrefix="0" xfId="0">
      <alignment horizontal="center" vertical="center"/>
    </xf>
    <xf numFmtId="0" fontId="3" fillId="0" borderId="15" pivotButton="0" quotePrefix="0" xfId="0"/>
    <xf numFmtId="0" fontId="2" fillId="7" borderId="53" applyAlignment="1" pivotButton="0" quotePrefix="0" xfId="0">
      <alignment horizontal="center" vertical="center"/>
    </xf>
    <xf numFmtId="0" fontId="2" fillId="5" borderId="14" applyAlignment="1" pivotButton="0" quotePrefix="0" xfId="0">
      <alignment horizontal="center" vertical="center"/>
    </xf>
    <xf numFmtId="0" fontId="3" fillId="0" borderId="14" pivotButton="0" quotePrefix="0" xfId="0"/>
    <xf numFmtId="0" fontId="26" fillId="0" borderId="44" applyAlignment="1" pivotButton="0" quotePrefix="0" xfId="0">
      <alignment horizontal="center" vertical="center"/>
    </xf>
    <xf numFmtId="0" fontId="3" fillId="0" borderId="45" pivotButton="0" quotePrefix="0" xfId="0"/>
    <xf numFmtId="0" fontId="3" fillId="0" borderId="46" pivotButton="0" quotePrefix="0" xfId="0"/>
    <xf numFmtId="0" fontId="3" fillId="0" borderId="47" pivotButton="0" quotePrefix="0" xfId="0"/>
    <xf numFmtId="0" fontId="3" fillId="0" borderId="48" pivotButton="0" quotePrefix="0" xfId="0"/>
    <xf numFmtId="0" fontId="3" fillId="0" borderId="49" pivotButton="0" quotePrefix="0" xfId="0"/>
    <xf numFmtId="0" fontId="27" fillId="0" borderId="44" applyAlignment="1" pivotButton="0" quotePrefix="0" xfId="0">
      <alignment horizontal="left" vertical="center" wrapText="1"/>
    </xf>
    <xf numFmtId="0" fontId="3" fillId="0" borderId="50" pivotButton="0" quotePrefix="0" xfId="0"/>
    <xf numFmtId="0" fontId="0" fillId="0" borderId="0" pivotButton="0" quotePrefix="0" xfId="0"/>
    <xf numFmtId="0" fontId="3" fillId="0" borderId="51" pivotButton="0" quotePrefix="0" xfId="0"/>
    <xf numFmtId="0" fontId="25" fillId="4" borderId="2" applyAlignment="1" pivotButton="0" quotePrefix="0" xfId="0">
      <alignment horizontal="center" vertical="center"/>
    </xf>
    <xf numFmtId="0" fontId="29" fillId="5" borderId="53" applyAlignment="1" pivotButton="0" quotePrefix="0" xfId="0">
      <alignment horizontal="center" vertical="center"/>
    </xf>
    <xf numFmtId="0" fontId="21" fillId="0" borderId="37" applyAlignment="1" pivotButton="0" quotePrefix="0" xfId="0">
      <alignment wrapText="1"/>
    </xf>
    <xf numFmtId="0" fontId="21" fillId="0" borderId="41" pivotButton="0" quotePrefix="0" xfId="0"/>
    <xf numFmtId="0" fontId="3" fillId="0" borderId="41" pivotButton="0" quotePrefix="0" xfId="0"/>
    <xf numFmtId="0" fontId="3" fillId="0" borderId="42" pivotButton="0" quotePrefix="0" xfId="0"/>
    <xf numFmtId="0" fontId="21" fillId="0" borderId="41" applyAlignment="1" pivotButton="0" quotePrefix="0" xfId="0">
      <alignment wrapText="1"/>
    </xf>
    <xf numFmtId="0" fontId="17" fillId="0" borderId="18" applyAlignment="1" pivotButton="0" quotePrefix="0" xfId="0">
      <alignment horizontal="center" vertical="center"/>
    </xf>
    <xf numFmtId="0" fontId="3" fillId="0" borderId="19" pivotButton="0" quotePrefix="0" xfId="0"/>
    <xf numFmtId="0" fontId="3" fillId="0" borderId="20" pivotButton="0" quotePrefix="0" xfId="0"/>
    <xf numFmtId="0" fontId="7" fillId="0" borderId="21" applyAlignment="1" pivotButton="0" quotePrefix="0" xfId="0">
      <alignment horizontal="center" vertical="center"/>
    </xf>
    <xf numFmtId="0" fontId="3" fillId="0" borderId="22" pivotButton="0" quotePrefix="0" xfId="0"/>
    <xf numFmtId="0" fontId="7" fillId="0" borderId="28" applyAlignment="1" pivotButton="0" quotePrefix="0" xfId="0">
      <alignment horizontal="center" vertical="center"/>
    </xf>
    <xf numFmtId="0" fontId="3" fillId="0" borderId="29" pivotButton="0" quotePrefix="0" xfId="0"/>
    <xf numFmtId="0" fontId="3" fillId="0" borderId="30" pivotButton="0" quotePrefix="0" xfId="0"/>
    <xf numFmtId="0" fontId="7" fillId="0" borderId="23" applyAlignment="1" pivotButton="0" quotePrefix="0" xfId="0">
      <alignment horizontal="center" vertical="center"/>
    </xf>
    <xf numFmtId="0" fontId="3" fillId="0" borderId="24" pivotButton="0" quotePrefix="0" xfId="0"/>
    <xf numFmtId="0" fontId="3" fillId="0" borderId="25" pivotButton="0" quotePrefix="0" xfId="0"/>
    <xf numFmtId="0" fontId="7" fillId="0" borderId="26" applyAlignment="1" pivotButton="0" quotePrefix="0" xfId="0">
      <alignment horizontal="center" vertical="center"/>
    </xf>
    <xf numFmtId="0" fontId="3" fillId="0" borderId="27" pivotButton="0" quotePrefix="0" xfId="0"/>
    <xf numFmtId="0" fontId="2" fillId="0" borderId="31" applyAlignment="1" pivotButton="0" quotePrefix="0" xfId="0">
      <alignment horizontal="left" vertical="center"/>
    </xf>
    <xf numFmtId="0" fontId="3" fillId="0" borderId="32" pivotButton="0" quotePrefix="0" xfId="0"/>
    <xf numFmtId="0" fontId="21" fillId="0" borderId="33" pivotButton="0" quotePrefix="0" xfId="0"/>
    <xf numFmtId="0" fontId="3" fillId="0" borderId="33" pivotButton="0" quotePrefix="0" xfId="0"/>
    <xf numFmtId="0" fontId="3" fillId="0" borderId="34" pivotButton="0" quotePrefix="0" xfId="0"/>
    <xf numFmtId="0" fontId="21" fillId="0" borderId="33" applyAlignment="1" pivotButton="0" quotePrefix="0" xfId="0">
      <alignment wrapText="1"/>
    </xf>
    <xf numFmtId="0" fontId="6" fillId="2" borderId="5" applyAlignment="1" pivotButton="0" quotePrefix="0" xfId="0">
      <alignment horizontal="center" vertical="center"/>
    </xf>
    <xf numFmtId="0" fontId="3" fillId="0" borderId="6" pivotButton="0" quotePrefix="0" xfId="0"/>
    <xf numFmtId="14" fontId="2" fillId="0" borderId="2" applyAlignment="1" pivotButton="0" quotePrefix="0" xfId="0">
      <alignment horizontal="left" vertical="center"/>
    </xf>
    <xf numFmtId="0" fontId="10" fillId="0" borderId="2" applyAlignment="1" pivotButton="0" quotePrefix="0" xfId="0">
      <alignment horizontal="left" vertical="center"/>
    </xf>
    <xf numFmtId="0" fontId="13" fillId="0" borderId="2" applyAlignment="1" pivotButton="0" quotePrefix="0" xfId="0">
      <alignment horizontal="left" vertical="center"/>
    </xf>
    <xf numFmtId="0" fontId="15" fillId="0" borderId="2" applyAlignment="1" pivotButton="0" quotePrefix="0" xfId="0">
      <alignment horizontal="center" vertical="center"/>
    </xf>
    <xf numFmtId="164" fontId="17" fillId="0" borderId="2" applyAlignment="1" pivotButton="0" quotePrefix="0" xfId="0">
      <alignment horizontal="center" vertical="center"/>
    </xf>
    <xf numFmtId="164" fontId="4" fillId="6" borderId="2" applyAlignment="1" pivotButton="0" quotePrefix="0" xfId="0">
      <alignment horizontal="center" vertical="center"/>
    </xf>
    <xf numFmtId="164" fontId="4" fillId="0" borderId="2" applyAlignment="1" pivotButton="0" quotePrefix="0" xfId="0">
      <alignment horizontal="center" vertical="center"/>
    </xf>
    <xf numFmtId="0" fontId="7" fillId="0" borderId="2" applyAlignment="1" pivotButton="0" quotePrefix="0" xfId="0">
      <alignment horizontal="center" vertical="center"/>
    </xf>
    <xf numFmtId="0" fontId="19" fillId="0" borderId="10" applyAlignment="1" pivotButton="0" quotePrefix="0" xfId="0">
      <alignment horizontal="center" vertical="center"/>
    </xf>
    <xf numFmtId="0" fontId="3" fillId="0" borderId="11" pivotButton="0" quotePrefix="0" xfId="0"/>
    <xf numFmtId="0" fontId="3" fillId="0" borderId="12" pivotButton="0" quotePrefix="0" xfId="0"/>
    <xf numFmtId="0" fontId="0" fillId="0" borderId="3" pivotButton="0" quotePrefix="0" xfId="0"/>
    <xf numFmtId="0" fontId="0" fillId="0" borderId="4" pivotButton="0" quotePrefix="0" xfId="0"/>
    <xf numFmtId="0" fontId="6" fillId="2" borderId="69" applyAlignment="1" pivotButton="0" quotePrefix="0" xfId="0">
      <alignment horizontal="center" vertical="center"/>
    </xf>
    <xf numFmtId="0" fontId="0" fillId="0" borderId="6" pivotButton="0" quotePrefix="0" xfId="0"/>
    <xf numFmtId="14" fontId="2" fillId="0" borderId="1" applyAlignment="1" pivotButton="0" quotePrefix="0" xfId="0">
      <alignment horizontal="left" vertical="center"/>
    </xf>
    <xf numFmtId="164" fontId="4" fillId="0" borderId="0" applyAlignment="1" pivotButton="0" quotePrefix="0" xfId="0">
      <alignment horizontal="center" vertical="center"/>
    </xf>
    <xf numFmtId="0" fontId="10" fillId="0" borderId="1" applyAlignment="1" pivotButton="0" quotePrefix="0" xfId="0">
      <alignment horizontal="left" vertical="center"/>
    </xf>
    <xf numFmtId="164" fontId="2" fillId="0" borderId="0" applyAlignment="1" pivotButton="0" quotePrefix="0" xfId="0">
      <alignment horizontal="center" vertical="center"/>
    </xf>
    <xf numFmtId="0" fontId="13" fillId="0" borderId="1" applyAlignment="1" pivotButton="0" quotePrefix="0" xfId="0">
      <alignment horizontal="left" vertical="center"/>
    </xf>
    <xf numFmtId="0" fontId="15" fillId="0" borderId="1" applyAlignment="1" pivotButton="0" quotePrefix="0" xfId="0">
      <alignment horizontal="center" vertical="center"/>
    </xf>
    <xf numFmtId="164" fontId="17" fillId="0" borderId="1" applyAlignment="1" pivotButton="0" quotePrefix="0" xfId="0">
      <alignment horizontal="center" vertical="center"/>
    </xf>
    <xf numFmtId="164" fontId="4" fillId="6" borderId="1" applyAlignment="1" pivotButton="0" quotePrefix="0" xfId="0">
      <alignment horizontal="center" vertical="center"/>
    </xf>
    <xf numFmtId="164" fontId="4" fillId="0" borderId="1" applyAlignment="1" pivotButton="0" quotePrefix="0" xfId="0">
      <alignment horizontal="center" vertical="center"/>
    </xf>
    <xf numFmtId="0" fontId="7" fillId="0" borderId="1" applyAlignment="1" pivotButton="0" quotePrefix="0" xfId="0">
      <alignment horizontal="center" vertical="center"/>
    </xf>
    <xf numFmtId="0" fontId="19" fillId="0" borderId="1" applyAlignment="1" pivotButton="0" quotePrefix="0" xfId="0">
      <alignment horizontal="center" vertical="center"/>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17" fillId="0" borderId="70" applyAlignment="1" pivotButton="0" quotePrefix="0" xfId="0">
      <alignment horizontal="center" vertical="center"/>
    </xf>
    <xf numFmtId="0" fontId="0" fillId="0" borderId="19" pivotButton="0" quotePrefix="0" xfId="0"/>
    <xf numFmtId="0" fontId="0" fillId="0" borderId="20" pivotButton="0" quotePrefix="0" xfId="0"/>
    <xf numFmtId="0" fontId="7" fillId="0" borderId="71" applyAlignment="1" pivotButton="0" quotePrefix="0" xfId="0">
      <alignment horizontal="center" vertical="center"/>
    </xf>
    <xf numFmtId="0" fontId="0" fillId="0" borderId="22" pivotButton="0" quotePrefix="0" xfId="0"/>
    <xf numFmtId="0" fontId="7" fillId="0" borderId="73" applyAlignment="1" pivotButton="0" quotePrefix="0" xfId="0">
      <alignment horizontal="center" vertical="center"/>
    </xf>
    <xf numFmtId="0" fontId="0" fillId="0" borderId="24" pivotButton="0" quotePrefix="0" xfId="0"/>
    <xf numFmtId="0" fontId="0" fillId="0" borderId="25" pivotButton="0" quotePrefix="0" xfId="0"/>
    <xf numFmtId="0" fontId="7" fillId="0" borderId="74" applyAlignment="1" pivotButton="0" quotePrefix="0" xfId="0">
      <alignment horizontal="center" vertical="center"/>
    </xf>
    <xf numFmtId="0" fontId="0" fillId="0" borderId="27" pivotButton="0" quotePrefix="0" xfId="0"/>
    <xf numFmtId="0" fontId="7" fillId="0" borderId="72" applyAlignment="1" pivotButton="0" quotePrefix="0" xfId="0">
      <alignment horizontal="center" vertical="center"/>
    </xf>
    <xf numFmtId="0" fontId="0" fillId="0" borderId="29" pivotButton="0" quotePrefix="0" xfId="0"/>
    <xf numFmtId="0" fontId="0" fillId="0" borderId="30" pivotButton="0" quotePrefix="0" xfId="0"/>
    <xf numFmtId="0" fontId="2" fillId="0" borderId="75" applyAlignment="1" pivotButton="0" quotePrefix="0" xfId="0">
      <alignment horizontal="left" vertical="center"/>
    </xf>
    <xf numFmtId="0" fontId="0" fillId="0" borderId="32" pivotButton="0" quotePrefix="0" xfId="0"/>
    <xf numFmtId="0" fontId="21" fillId="0" borderId="34" pivotButton="0" quotePrefix="0" xfId="0"/>
    <xf numFmtId="0" fontId="0" fillId="0" borderId="33" pivotButton="0" quotePrefix="0" xfId="0"/>
    <xf numFmtId="0" fontId="0" fillId="0" borderId="34" pivotButton="0" quotePrefix="0" xfId="0"/>
    <xf numFmtId="0" fontId="21" fillId="0" borderId="34" applyAlignment="1" pivotButton="0" quotePrefix="0" xfId="0">
      <alignment wrapText="1"/>
    </xf>
    <xf numFmtId="0" fontId="2" fillId="0" borderId="67" applyAlignment="1" pivotButton="0" quotePrefix="0" xfId="0">
      <alignment horizontal="left" vertical="center"/>
    </xf>
    <xf numFmtId="0" fontId="0" fillId="0" borderId="36" pivotButton="0" quotePrefix="0" xfId="0"/>
    <xf numFmtId="0" fontId="21" fillId="0" borderId="38" pivotButton="0" quotePrefix="0" xfId="0"/>
    <xf numFmtId="0" fontId="0" fillId="0" borderId="37" pivotButton="0" quotePrefix="0" xfId="0"/>
    <xf numFmtId="0" fontId="0" fillId="0" borderId="38" pivotButton="0" quotePrefix="0" xfId="0"/>
    <xf numFmtId="0" fontId="21" fillId="0" borderId="38" applyAlignment="1" pivotButton="0" quotePrefix="0" xfId="0">
      <alignment wrapText="1"/>
    </xf>
    <xf numFmtId="0" fontId="2" fillId="0" borderId="77" applyAlignment="1" pivotButton="0" quotePrefix="0" xfId="0">
      <alignment horizontal="left" vertical="center"/>
    </xf>
    <xf numFmtId="0" fontId="0" fillId="0" borderId="40" pivotButton="0" quotePrefix="0" xfId="0"/>
    <xf numFmtId="0" fontId="21" fillId="0" borderId="42" pivotButton="0" quotePrefix="0" xfId="0"/>
    <xf numFmtId="0" fontId="0" fillId="0" borderId="41" pivotButton="0" quotePrefix="0" xfId="0"/>
    <xf numFmtId="0" fontId="0" fillId="0" borderId="42" pivotButton="0" quotePrefix="0" xfId="0"/>
    <xf numFmtId="0" fontId="21" fillId="0" borderId="42" applyAlignment="1" pivotButton="0" quotePrefix="0" xfId="0">
      <alignment wrapText="1"/>
    </xf>
    <xf numFmtId="0" fontId="26" fillId="0" borderId="62" applyAlignment="1" pivotButton="0" quotePrefix="0" xfId="0">
      <alignment horizontal="center" vertical="center"/>
    </xf>
    <xf numFmtId="0" fontId="0" fillId="0" borderId="45" pivotButton="0" quotePrefix="0" xfId="0"/>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27" fillId="0" borderId="62" applyAlignment="1" pivotButton="0" quotePrefix="0" xfId="0">
      <alignment horizontal="left" vertical="center" wrapText="1"/>
    </xf>
    <xf numFmtId="0" fontId="0" fillId="0" borderId="50" pivotButton="0" quotePrefix="0" xfId="0"/>
    <xf numFmtId="0" fontId="0" fillId="0" borderId="51" pivotButton="0" quotePrefix="0" xfId="0"/>
    <xf numFmtId="0" fontId="25" fillId="4" borderId="1" applyAlignment="1" pivotButton="0" quotePrefix="0" xfId="0">
      <alignment horizontal="center" vertical="center"/>
    </xf>
    <xf numFmtId="0" fontId="28" fillId="4" borderId="64" applyAlignment="1" pivotButton="0" quotePrefix="0" xfId="0">
      <alignment horizontal="center" vertical="center"/>
    </xf>
    <xf numFmtId="0" fontId="29" fillId="5" borderId="62" applyAlignment="1" pivotButton="0" quotePrefix="0" xfId="0">
      <alignment horizontal="center" vertical="center"/>
    </xf>
    <xf numFmtId="0" fontId="2" fillId="5" borderId="62" applyAlignment="1" pivotButton="0" quotePrefix="0" xfId="0">
      <alignment horizontal="center" vertical="center"/>
    </xf>
    <xf numFmtId="0" fontId="21" fillId="0" borderId="1" pivotButton="0" quotePrefix="0" xfId="0"/>
    <xf numFmtId="0" fontId="0" fillId="0" borderId="54" pivotButton="0" quotePrefix="0" xfId="0"/>
    <xf numFmtId="0" fontId="0" fillId="0" borderId="55" pivotButton="0" quotePrefix="0" xfId="0"/>
    <xf numFmtId="0" fontId="29" fillId="7" borderId="2" applyAlignment="1" pivotButton="0" quotePrefix="0" xfId="0">
      <alignment horizontal="center" vertical="center"/>
    </xf>
    <xf numFmtId="0" fontId="2" fillId="7" borderId="62" applyAlignment="1" pivotButton="0" quotePrefix="0" xfId="0">
      <alignment horizontal="center" vertical="center"/>
    </xf>
    <xf numFmtId="0" fontId="29" fillId="8" borderId="1" applyAlignment="1" pivotButton="0" quotePrefix="0" xfId="0">
      <alignment horizontal="center" vertical="center"/>
    </xf>
    <xf numFmtId="0" fontId="2" fillId="11" borderId="1" applyAlignment="1" pivotButton="0" quotePrefix="0" xfId="0">
      <alignment horizontal="center" vertical="center"/>
    </xf>
    <xf numFmtId="0" fontId="0" fillId="0" borderId="63" pivotButton="0" quotePrefix="0" xfId="0"/>
    <xf numFmtId="0" fontId="0" fillId="0" borderId="64" pivotButton="0" quotePrefix="0" xfId="0"/>
    <xf numFmtId="0" fontId="21" fillId="12" borderId="1" applyAlignment="1" pivotButton="0" quotePrefix="0" xfId="0">
      <alignment horizontal="center" vertical="center"/>
    </xf>
    <xf numFmtId="0" fontId="2" fillId="3" borderId="62" applyAlignment="1" pivotButton="0" quotePrefix="0" xfId="0">
      <alignment horizontal="center" vertical="center"/>
    </xf>
    <xf numFmtId="0" fontId="2" fillId="9" borderId="64" applyAlignment="1" pivotButton="0" quotePrefix="0" xfId="0">
      <alignment horizontal="center" vertical="center"/>
    </xf>
    <xf numFmtId="0" fontId="2" fillId="9" borderId="1" applyAlignment="1" pivotButton="0" quotePrefix="0" xfId="0">
      <alignment horizontal="center" vertical="center"/>
    </xf>
  </cellXfs>
  <cellStyles count="1">
    <cellStyle name="標準" xfId="0" builtinId="0"/>
  </cellStyles>
  <dxfs count="1">
    <dxf>
      <fill>
        <patternFill patternType="solid">
          <fgColor rgb="FFF4C7C3"/>
          <bgColor rgb="FFF4C7C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0">
                <a:solidFill>
                  <a:srgbClr val="757575"/>
                </a:solidFill>
                <a:latin typeface="+mn-lt"/>
              </a:defRPr>
            </a:pPr>
            <a:r>
              <a:rPr lang="ja-JP" altLang="en-US" b="0">
                <a:solidFill>
                  <a:srgbClr val="757575"/>
                </a:solidFill>
                <a:latin typeface="+mn-lt"/>
              </a:rPr>
              <a:t>営業全体評価</a:t>
            </a:r>
          </a:p>
        </rich>
      </tx>
      <layout>
        <manualLayout>
          <xMode val="edge"/>
          <yMode val="edge"/>
          <wMode val="factor"/>
          <hMode val="factor"/>
          <x val="0.03807234620305572"/>
          <y val="0.05036010482119128"/>
        </manualLayout>
      </layout>
      <overlay val="0"/>
    </title>
    <plotArea>
      <layout/>
      <radarChart>
        <radarStyle val="marker"/>
        <varyColors val="1"/>
        <ser>
          <idx val="0"/>
          <order val="0"/>
          <spPr>
            <a:ln xmlns:a="http://schemas.openxmlformats.org/drawingml/2006/main" w="19050" cmpd="sng">
              <a:solidFill>
                <a:srgbClr val="4285F4"/>
              </a:solidFill>
              <a:prstDash val="solid"/>
            </a:ln>
          </spPr>
          <marker>
            <symbol val="circle"/>
            <size val="10"/>
            <spPr>
              <a:solidFill xmlns:a="http://schemas.openxmlformats.org/drawingml/2006/main">
                <a:srgbClr val="4285F4"/>
              </a:solidFill>
              <a:ln xmlns:a="http://schemas.openxmlformats.org/drawingml/2006/main" cmpd="sng">
                <a:solidFill>
                  <a:srgbClr val="4285F4"/>
                </a:solidFill>
                <a:prstDash val="solid"/>
              </a:ln>
            </spPr>
          </marker>
          <cat>
            <numRef>
              <f>エキスパートハブ様!$H$2:$H$15</f>
              <numCache>
                <formatCode>0"点"</formatCode>
                <ptCount val="14"/>
                <pt idx="0">
                  <v>0</v>
                </pt>
                <pt idx="1">
                  <v>77.27272727272727</v>
                </pt>
                <pt idx="2">
                  <v>84</v>
                </pt>
                <pt idx="4">
                  <v>64.51612903225806</v>
                </pt>
                <pt idx="5">
                  <v>0</v>
                </pt>
              </numCache>
            </numRef>
          </cat>
          <val>
            <numRef>
              <f>エキスパートハブ様!$H$2:$H$15</f>
              <numCache>
                <formatCode>0"点"</formatCode>
                <ptCount val="14"/>
                <pt idx="0">
                  <v>0</v>
                </pt>
                <pt idx="1">
                  <v>77.27272727272727</v>
                </pt>
                <pt idx="2">
                  <v>84</v>
                </pt>
                <pt idx="4">
                  <v>64.51612903225806</v>
                </pt>
                <pt idx="5">
                  <v>0</v>
                </pt>
              </numCache>
            </numRef>
          </val>
        </ser>
        <dLbls>
          <showLegendKey val="0"/>
          <showVal val="0"/>
          <showCatName val="0"/>
          <showSerName val="0"/>
          <showPercent val="0"/>
          <showBubbleSize val="0"/>
        </dLbls>
        <axId val="1213137981"/>
        <axId val="56476653"/>
      </radarChart>
      <catAx>
        <axId val="1213137981"/>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ltLang="en-US"/>
              </a:p>
            </rich>
          </tx>
          <overlay val="0"/>
        </title>
        <numFmt formatCode="0&quot;点&quot;" sourceLinked="1"/>
        <majorTickMark val="none"/>
        <minorTickMark val="none"/>
        <tickLblPos val="nextTo"/>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p>
        </txPr>
        <crossAx val="56476653"/>
        <crosses val="autoZero"/>
        <auto val="1"/>
        <lblAlgn val="ctr"/>
        <lblOffset val="100"/>
        <noMultiLvlLbl val="1"/>
      </catAx>
      <valAx>
        <axId val="56476653"/>
        <scaling>
          <orientation val="minMax"/>
          <max val="100"/>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ltLang="en-US"/>
              </a:p>
            </rich>
          </tx>
          <overlay val="0"/>
        </title>
        <numFmt formatCode="0&quot;点&quot;"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p>
        </txPr>
        <crossAx val="1213137981"/>
        <crosses val="autoZero"/>
        <crossBetween val="between"/>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endParaRPr lang="ja-JP"/>
        </a:p>
      </txPr>
    </legend>
    <plotVisOnly val="0"/>
    <dispBlanksAs val="zero"/>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0">
                <a:solidFill>
                  <a:srgbClr val="757575"/>
                </a:solidFill>
                <a:latin typeface="Arial"/>
              </a:defRPr>
            </a:pPr>
            <a:r>
              <a:rPr lang="ja-JP" altLang="en-US" b="0">
                <a:solidFill>
                  <a:srgbClr val="757575"/>
                </a:solidFill>
                <a:latin typeface="Arial"/>
              </a:rPr>
              <a:t>商談評価</a:t>
            </a:r>
          </a:p>
        </rich>
      </tx>
      <layout>
        <manualLayout>
          <xMode val="edge"/>
          <yMode val="edge"/>
          <wMode val="factor"/>
          <hMode val="factor"/>
          <x val="0.03807234620305572"/>
          <y val="0.05036010482119128"/>
        </manualLayout>
      </layout>
      <overlay val="0"/>
    </title>
    <plotArea>
      <layout/>
      <radarChart>
        <radarStyle val="marker"/>
        <varyColors val="1"/>
        <ser>
          <idx val="0"/>
          <order val="0"/>
          <spPr>
            <a:ln xmlns:a="http://schemas.openxmlformats.org/drawingml/2006/main" w="19050" cmpd="sng">
              <a:solidFill>
                <a:srgbClr val="4285F4"/>
              </a:solidFill>
              <a:prstDash val="solid"/>
            </a:ln>
          </spPr>
          <marker>
            <symbol val="circle"/>
            <size val="10"/>
            <spPr>
              <a:solidFill xmlns:a="http://schemas.openxmlformats.org/drawingml/2006/main">
                <a:srgbClr val="4285F4"/>
              </a:solidFill>
              <a:ln xmlns:a="http://schemas.openxmlformats.org/drawingml/2006/main" cmpd="sng">
                <a:solidFill>
                  <a:srgbClr val="4285F4"/>
                </a:solidFill>
                <a:prstDash val="solid"/>
              </a:ln>
            </spPr>
          </marker>
          <cat>
            <numRef>
              <f>エキスパートハブ様!$H$20:$H$31</f>
              <numCache>
                <formatCode>0"点"</formatCode>
                <ptCount val="12"/>
                <pt idx="0">
                  <v>70</v>
                </pt>
                <pt idx="1">
                  <v>100</v>
                </pt>
                <pt idx="2">
                  <v>88.46153846153845</v>
                </pt>
                <pt idx="3">
                  <v>0</v>
                </pt>
              </numCache>
            </numRef>
          </cat>
          <val>
            <numRef>
              <f>エキスパートハブ様!$H$20:$H$31</f>
              <numCache>
                <formatCode>0"点"</formatCode>
                <ptCount val="12"/>
                <pt idx="0">
                  <v>70</v>
                </pt>
                <pt idx="1">
                  <v>100</v>
                </pt>
                <pt idx="2">
                  <v>88.46153846153845</v>
                </pt>
                <pt idx="3">
                  <v>0</v>
                </pt>
              </numCache>
            </numRef>
          </val>
        </ser>
        <dLbls>
          <showLegendKey val="0"/>
          <showVal val="0"/>
          <showCatName val="0"/>
          <showSerName val="0"/>
          <showPercent val="0"/>
          <showBubbleSize val="0"/>
        </dLbls>
        <axId val="1952814666"/>
        <axId val="1833026699"/>
      </radarChart>
      <catAx>
        <axId val="1952814666"/>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ltLang="en-US"/>
              </a:p>
            </rich>
          </tx>
          <overlay val="0"/>
        </title>
        <numFmt formatCode="0&quot;点&quot;" sourceLinked="1"/>
        <majorTickMark val="none"/>
        <minorTickMark val="none"/>
        <tickLblPos val="nextTo"/>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p>
        </txPr>
        <crossAx val="1833026699"/>
        <crosses val="autoZero"/>
        <auto val="1"/>
        <lblAlgn val="ctr"/>
        <lblOffset val="100"/>
        <noMultiLvlLbl val="1"/>
      </catAx>
      <valAx>
        <axId val="1833026699"/>
        <scaling>
          <orientation val="minMax"/>
          <max val="100"/>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ltLang="en-US"/>
              </a:p>
            </rich>
          </tx>
          <overlay val="0"/>
        </title>
        <numFmt formatCode="0&quot;点&quot;"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p>
        </txPr>
        <crossAx val="1952814666"/>
        <crosses val="autoZero"/>
        <crossBetween val="between"/>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endParaRPr lang="ja-JP"/>
        </a:p>
      </txPr>
    </legend>
    <plotVisOnly val="0"/>
    <dispBlanksAs val="zero"/>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190500</colOff>
      <row>0</row>
      <rowOff>76200</rowOff>
    </from>
    <ext cx="4257675" cy="33051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4</col>
      <colOff>190500</colOff>
      <row>16</row>
      <rowOff>38100</rowOff>
    </from>
    <ext cx="4257675" cy="29337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aleshub.jp/lps/enterprise/experthub" TargetMode="External" Id="rId1"/><Relationship Type="http://schemas.openxmlformats.org/officeDocument/2006/relationships/hyperlink" Target="https://reccloud.com/jp/u/30363kg" TargetMode="External" Id="rId2"/><Relationship Type="http://schemas.openxmlformats.org/officeDocument/2006/relationships/hyperlink" Target="https://docs.google.com/document/d/1bIRv_4RhayRPUwf8SZziJhZV1VZRrLjEm3hU7SuXDUY/edit?hl=JA&amp;tab=t.9j93o0uiski8" TargetMode="External" Id="rId3"/><Relationship Type="http://schemas.openxmlformats.org/officeDocument/2006/relationships/hyperlink" Target="https://drive.google.com/file/d/1jqMrIfNfxgZfaa1UXEfiJLlFX7U8xaLB/view?pli=1" TargetMode="External" Id="rId4"/><Relationship Type="http://schemas.openxmlformats.org/officeDocument/2006/relationships/hyperlink" Target="https://www.wawaoffice.jp/wawawork/bant/"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tabColor rgb="FFFF0000"/>
    <outlinePr summaryBelow="0" summaryRight="0"/>
    <pageSetUpPr fitToPage="1"/>
  </sheetPr>
  <dimension ref="A1:J172"/>
  <sheetViews>
    <sheetView showGridLines="0" tabSelected="1" zoomScaleNormal="100" workbookViewId="0">
      <selection activeCell="N13" sqref="N13"/>
    </sheetView>
  </sheetViews>
  <sheetFormatPr baseColWidth="10" defaultColWidth="12.6640625" defaultRowHeight="15.75" customHeight="1"/>
  <cols>
    <col width="18.83203125" customWidth="1" style="113" min="1" max="1"/>
    <col width="12.6640625" customWidth="1" style="113" min="2" max="2"/>
    <col width="4" customWidth="1" style="113" min="3" max="3"/>
    <col width="21.33203125" customWidth="1" style="113" min="4" max="4"/>
    <col width="32.6640625" customWidth="1" style="113" min="5" max="5"/>
    <col width="27.1640625" customWidth="1" style="113" min="6" max="6"/>
    <col collapsed="1" width="5.33203125" customWidth="1" style="113" min="7" max="7"/>
    <col hidden="1" outlineLevel="1" width="8.1640625" customWidth="1" style="113" min="8" max="8"/>
    <col width="25.83203125" customWidth="1" style="113" min="9" max="9"/>
    <col width="32.6640625" customWidth="1" style="113" min="10" max="10"/>
  </cols>
  <sheetData>
    <row r="1" ht="29.25" customHeight="1" s="113">
      <c r="A1" s="1" t="inlineStr">
        <is>
          <t>商談企業名：</t>
        </is>
      </c>
      <c r="B1" s="50" t="inlineStr">
        <is>
          <t>Test Company Ltd.</t>
        </is>
      </c>
      <c r="C1" s="154" t="n"/>
      <c r="D1" s="155" t="n"/>
      <c r="E1" s="2" t="n"/>
      <c r="F1" s="3" t="n"/>
      <c r="G1" s="2" t="n"/>
      <c r="H1" s="2" t="n"/>
      <c r="I1" s="156" t="inlineStr">
        <is>
          <t>Q＆A</t>
        </is>
      </c>
      <c r="J1" s="157" t="n"/>
    </row>
    <row r="2" ht="13" customHeight="1" s="113">
      <c r="A2" s="4" t="inlineStr">
        <is>
          <t>日付：</t>
        </is>
      </c>
      <c r="B2" s="158" t="n">
        <v>45973</v>
      </c>
      <c r="C2" s="154" t="n"/>
      <c r="D2" s="155" t="n"/>
      <c r="E2" s="2" t="n"/>
      <c r="F2" s="5" t="inlineStr">
        <is>
          <t>見た目</t>
        </is>
      </c>
      <c r="G2" s="6" t="n"/>
      <c r="H2" s="159">
        <f>SUM(H72:H81)/10*100</f>
        <v/>
      </c>
      <c r="I2" s="8" t="inlineStr">
        <is>
          <t>弊社→先方質問内容</t>
        </is>
      </c>
      <c r="J2" s="9" t="inlineStr">
        <is>
          <t>回答</t>
        </is>
      </c>
    </row>
    <row r="3" ht="23.25" customHeight="1" s="113">
      <c r="A3" s="4" t="inlineStr">
        <is>
          <t>商談先HP：</t>
        </is>
      </c>
      <c r="B3" s="160" t="inlineStr">
        <is>
          <t>https://example.com</t>
        </is>
      </c>
      <c r="C3" s="154" t="n"/>
      <c r="D3" s="155" t="n"/>
      <c r="E3" s="2" t="n"/>
      <c r="F3" s="5" t="inlineStr">
        <is>
          <t>環境整備</t>
        </is>
      </c>
      <c r="G3" s="6" t="n"/>
      <c r="H3" s="161">
        <f>SUM(H83:H104)/22*100</f>
        <v/>
      </c>
      <c r="I3" s="11" t="inlineStr">
        <is>
          <t>Test Q1 from Us</t>
        </is>
      </c>
      <c r="J3" s="70" t="inlineStr">
        <is>
          <t>Test A1</t>
        </is>
      </c>
    </row>
    <row r="4" ht="23.25" customHeight="1" s="113">
      <c r="A4" s="4" t="inlineStr">
        <is>
          <t>先方営業担当者：</t>
        </is>
      </c>
      <c r="B4" s="50" t="inlineStr">
        <is>
          <t>Test Person</t>
        </is>
      </c>
      <c r="C4" s="154" t="n"/>
      <c r="D4" s="155" t="n"/>
      <c r="E4" s="2" t="n"/>
      <c r="F4" s="12" t="inlineStr">
        <is>
          <t>事前情報</t>
        </is>
      </c>
      <c r="G4" s="6" t="n"/>
      <c r="H4" s="159">
        <f>SUM(H105:H129)/25*100</f>
        <v/>
      </c>
      <c r="I4" s="13" t="n"/>
      <c r="J4" s="71" t="n"/>
    </row>
    <row r="5" ht="23.25" customHeight="1" s="113">
      <c r="A5" s="4" t="inlineStr">
        <is>
          <t>営業担当者役職：</t>
        </is>
      </c>
      <c r="B5" s="50" t="inlineStr">
        <is>
          <t>Manager</t>
        </is>
      </c>
      <c r="C5" s="154" t="n"/>
      <c r="D5" s="155" t="n"/>
      <c r="E5" s="2" t="n"/>
      <c r="F5" s="14" t="n"/>
      <c r="G5" s="15" t="n"/>
      <c r="H5" s="16" t="n"/>
      <c r="I5" s="13" t="n"/>
      <c r="J5" s="71" t="n"/>
    </row>
    <row r="6" ht="23.25" customHeight="1" s="113">
      <c r="A6" s="4" t="inlineStr">
        <is>
          <t>CrowdSearch担当者：</t>
        </is>
      </c>
      <c r="B6" s="50" t="inlineStr">
        <is>
          <t>Our Rep</t>
        </is>
      </c>
      <c r="C6" s="154" t="n"/>
      <c r="D6" s="155" t="n"/>
      <c r="E6" s="2" t="n"/>
      <c r="F6" s="5" t="inlineStr">
        <is>
          <t>非言語力</t>
        </is>
      </c>
      <c r="G6" s="6" t="n"/>
      <c r="H6" s="159">
        <f>SUM(H130:H160)/31*100</f>
        <v/>
      </c>
      <c r="I6" s="13" t="n"/>
      <c r="J6" s="71" t="n"/>
    </row>
    <row r="7" ht="23.25" customHeight="1" s="113">
      <c r="A7" s="4" t="inlineStr">
        <is>
          <t>録画リンク：</t>
        </is>
      </c>
      <c r="B7" s="162" t="inlineStr"/>
      <c r="C7" s="154" t="n"/>
      <c r="D7" s="155" t="n"/>
      <c r="E7" s="2" t="n"/>
      <c r="F7" s="5" t="inlineStr">
        <is>
          <t>言語力</t>
        </is>
      </c>
      <c r="G7" s="6" t="n"/>
      <c r="H7" s="159">
        <f>SUM(H162:H172)/11*100</f>
        <v/>
      </c>
      <c r="I7" s="13" t="n"/>
      <c r="J7" s="71" t="n"/>
    </row>
    <row r="8" ht="23.25" customHeight="1" s="113">
      <c r="A8" s="4" t="inlineStr">
        <is>
          <t>商談トーク台本リンク：</t>
        </is>
      </c>
      <c r="B8" s="160" t="inlineStr"/>
      <c r="C8" s="154" t="n"/>
      <c r="D8" s="155" t="n"/>
      <c r="E8" s="2" t="n"/>
      <c r="F8" s="5" t="n"/>
      <c r="G8" s="6" t="n"/>
      <c r="H8" s="159" t="n"/>
      <c r="I8" s="13" t="n"/>
      <c r="J8" s="71" t="n"/>
    </row>
    <row r="9" ht="23.25" customHeight="1" s="113">
      <c r="A9" s="17" t="inlineStr">
        <is>
          <t>営業資料リンク：</t>
        </is>
      </c>
      <c r="B9" s="163" t="inlineStr"/>
      <c r="C9" s="154" t="n"/>
      <c r="D9" s="155" t="n"/>
      <c r="E9" s="2" t="n"/>
      <c r="F9" s="5" t="n"/>
      <c r="G9" s="6" t="n"/>
      <c r="H9" s="159" t="n"/>
      <c r="I9" s="13" t="n"/>
      <c r="J9" s="71" t="n"/>
    </row>
    <row r="10" ht="25.5" customHeight="1" s="113">
      <c r="A10" s="18" t="inlineStr">
        <is>
          <t>総合数値</t>
        </is>
      </c>
      <c r="B10" s="164" t="inlineStr"/>
      <c r="C10" s="154" t="n"/>
      <c r="D10" s="155" t="n"/>
      <c r="E10" s="2" t="n"/>
      <c r="F10" s="5" t="n"/>
      <c r="G10" s="6" t="n"/>
      <c r="H10" s="159" t="n"/>
      <c r="I10" s="13" t="n"/>
      <c r="J10" s="71" t="n"/>
    </row>
    <row r="11" ht="13" customHeight="1" s="113">
      <c r="A11" s="19" t="inlineStr">
        <is>
          <t>商談前ＩＳ</t>
        </is>
      </c>
      <c r="B11" s="165" t="inlineStr"/>
      <c r="C11" s="154" t="n"/>
      <c r="D11" s="155" t="n"/>
      <c r="E11" s="2" t="n"/>
      <c r="F11" s="3" t="n"/>
      <c r="G11" s="6" t="n"/>
      <c r="H11" s="159" t="n"/>
      <c r="I11" s="13" t="n"/>
      <c r="J11" s="13" t="n"/>
    </row>
    <row r="12" ht="13" customHeight="1" s="113">
      <c r="A12" s="20" t="inlineStr">
        <is>
          <t>商談態勢</t>
        </is>
      </c>
      <c r="B12" s="166">
        <f>H3</f>
        <v/>
      </c>
      <c r="C12" s="154" t="n"/>
      <c r="D12" s="155" t="n"/>
      <c r="E12" s="2" t="n"/>
      <c r="F12" s="21" t="n"/>
      <c r="G12" s="6" t="n"/>
      <c r="H12" s="159" t="n"/>
      <c r="I12" s="13" t="n"/>
      <c r="J12" s="13" t="n"/>
    </row>
    <row r="13" ht="13" customHeight="1" s="113">
      <c r="A13" s="22" t="inlineStr">
        <is>
          <t>営業人間力</t>
        </is>
      </c>
      <c r="B13" s="166">
        <f>H4</f>
        <v/>
      </c>
      <c r="C13" s="154" t="n"/>
      <c r="D13" s="155" t="n"/>
      <c r="E13" s="6" t="n"/>
      <c r="F13" s="14" t="n"/>
      <c r="G13" s="15" t="n"/>
      <c r="H13" s="15" t="n"/>
      <c r="I13" s="13" t="n"/>
      <c r="J13" s="13" t="n"/>
    </row>
    <row r="14" ht="13" customHeight="1" s="113">
      <c r="A14" s="23" t="inlineStr">
        <is>
          <t>商談対応力</t>
        </is>
      </c>
      <c r="B14" s="166">
        <f>H6</f>
        <v/>
      </c>
      <c r="C14" s="154" t="n"/>
      <c r="D14" s="155" t="n"/>
      <c r="E14" s="6" t="n"/>
      <c r="F14" s="14" t="n"/>
      <c r="G14" s="15" t="n"/>
      <c r="H14" s="15" t="n"/>
      <c r="I14" s="13" t="n"/>
      <c r="J14" s="13" t="n"/>
    </row>
    <row r="15" ht="13" customHeight="1" s="113">
      <c r="A15" s="24" t="inlineStr">
        <is>
          <t>商談後フォロー</t>
        </is>
      </c>
      <c r="B15" s="165" t="inlineStr"/>
      <c r="C15" s="154" t="n"/>
      <c r="D15" s="155" t="n"/>
      <c r="E15" s="6" t="n"/>
      <c r="F15" s="14" t="n"/>
      <c r="G15" s="15" t="n"/>
      <c r="H15" s="15" t="n"/>
      <c r="I15" s="13" t="n"/>
      <c r="J15" s="13" t="n"/>
    </row>
    <row r="16" ht="13" customHeight="1" s="113">
      <c r="A16" s="167" t="inlineStr">
        <is>
          <t>■商談画像スクリーンショット</t>
        </is>
      </c>
      <c r="B16" s="154" t="n"/>
      <c r="C16" s="154" t="n"/>
      <c r="D16" s="155" t="n"/>
      <c r="E16" s="25" t="n"/>
      <c r="F16" s="14" t="n"/>
      <c r="G16" s="26" t="n"/>
      <c r="H16" s="15" t="n"/>
      <c r="I16" s="27" t="n"/>
      <c r="J16" s="27" t="n"/>
    </row>
    <row r="17" ht="14" customHeight="1" s="113">
      <c r="A17" s="168" t="n"/>
      <c r="B17" s="169" t="n"/>
      <c r="C17" s="169" t="n"/>
      <c r="D17" s="170" t="n"/>
      <c r="E17" s="28" t="n"/>
      <c r="F17" s="14" t="n"/>
      <c r="G17" s="26" t="n"/>
      <c r="H17" s="15" t="n"/>
      <c r="I17" s="29" t="inlineStr">
        <is>
          <t>先方→弊社質問内容</t>
        </is>
      </c>
      <c r="J17" s="30" t="inlineStr">
        <is>
          <t>回答</t>
        </is>
      </c>
    </row>
    <row r="18" ht="17.25" customHeight="1" s="113">
      <c r="A18" s="171" t="n"/>
      <c r="D18" s="172" t="n"/>
      <c r="E18" s="28" t="n"/>
      <c r="F18" s="14" t="n"/>
      <c r="G18" s="26" t="n"/>
      <c r="H18" s="15" t="n"/>
      <c r="I18" s="11" t="inlineStr">
        <is>
          <t>Test Q1 from Client</t>
        </is>
      </c>
      <c r="J18" s="70" t="inlineStr">
        <is>
          <t>Test A1</t>
        </is>
      </c>
    </row>
    <row r="19" ht="17.25" customHeight="1" s="113">
      <c r="A19" s="171" t="n"/>
      <c r="D19" s="172" t="n"/>
      <c r="E19" s="28" t="n"/>
      <c r="F19" s="14" t="inlineStr">
        <is>
          <t>型の徹底度</t>
        </is>
      </c>
      <c r="G19" s="26" t="n"/>
      <c r="H19" s="15" t="n"/>
      <c r="I19" s="13" t="n"/>
      <c r="J19" s="71" t="n"/>
    </row>
    <row r="20" ht="17.25" customHeight="1" s="113">
      <c r="A20" s="171" t="n"/>
      <c r="D20" s="172" t="n"/>
      <c r="E20" s="28" t="n"/>
      <c r="F20" s="14" t="inlineStr">
        <is>
          <t>資料活用レベル</t>
        </is>
      </c>
      <c r="G20" s="6" t="n"/>
      <c r="H20" s="159">
        <f>SUM(H130:H134)/5*100</f>
        <v/>
      </c>
      <c r="I20" s="13" t="n"/>
      <c r="J20" s="13" t="n"/>
    </row>
    <row r="21" ht="13" customHeight="1" s="113">
      <c r="A21" s="171" t="n"/>
      <c r="D21" s="172" t="n"/>
      <c r="E21" s="28" t="n"/>
      <c r="F21" s="14" t="inlineStr">
        <is>
          <t>トーク完コピレベル</t>
        </is>
      </c>
      <c r="G21" s="6" t="n"/>
      <c r="H21" s="159">
        <f>SUM(H135:H139)/5*100</f>
        <v/>
      </c>
      <c r="I21" s="13" t="n"/>
      <c r="J21" s="13" t="n"/>
    </row>
    <row r="22" ht="13" customHeight="1" s="113">
      <c r="A22" s="171" t="n"/>
      <c r="D22" s="172" t="n"/>
      <c r="E22" s="28" t="n"/>
      <c r="F22" s="14" t="inlineStr">
        <is>
          <t>虎の巻 事前準備アクション徹底</t>
        </is>
      </c>
      <c r="G22" s="6" t="n"/>
      <c r="H22" s="159">
        <f>SUM(H140:H152)/13*100</f>
        <v/>
      </c>
      <c r="I22" s="13" t="n"/>
      <c r="J22" s="13" t="n"/>
    </row>
    <row r="23" ht="13" customHeight="1" s="113">
      <c r="A23" s="171" t="n"/>
      <c r="D23" s="172" t="n"/>
      <c r="E23" s="28" t="n"/>
      <c r="F23" s="14" t="inlineStr">
        <is>
          <t>虎の巻 課題解決徹底</t>
        </is>
      </c>
      <c r="G23" s="6" t="n"/>
      <c r="H23" s="159">
        <f>SUM(H153:H160)/8*100</f>
        <v/>
      </c>
      <c r="I23" s="13" t="n"/>
      <c r="J23" s="13" t="n"/>
    </row>
    <row r="24" ht="13" customHeight="1" s="113">
      <c r="A24" s="171" t="n"/>
      <c r="D24" s="172" t="n"/>
      <c r="E24" s="28" t="n"/>
      <c r="F24" s="14" t="inlineStr">
        <is>
          <t>虎の巻 テクニック徹底</t>
        </is>
      </c>
      <c r="G24" s="6" t="n"/>
      <c r="H24" s="159" t="n"/>
      <c r="I24" s="13" t="n"/>
      <c r="J24" s="13" t="n"/>
    </row>
    <row r="25" ht="13" customHeight="1" s="113">
      <c r="A25" s="171" t="n"/>
      <c r="D25" s="172" t="n"/>
      <c r="E25" s="28" t="n"/>
      <c r="F25" s="14" t="n"/>
      <c r="G25" s="26" t="n"/>
      <c r="H25" s="15" t="n"/>
      <c r="I25" s="13" t="n"/>
      <c r="J25" s="13" t="n"/>
    </row>
    <row r="26" ht="13" customHeight="1" s="113">
      <c r="A26" s="171" t="n"/>
      <c r="D26" s="172" t="n"/>
      <c r="E26" s="25" t="n"/>
      <c r="F26" s="14" t="n"/>
      <c r="G26" s="26" t="n"/>
      <c r="H26" s="15" t="n"/>
      <c r="I26" s="13" t="n"/>
      <c r="J26" s="13" t="n"/>
    </row>
    <row r="27" ht="13" customHeight="1" s="113">
      <c r="A27" s="171" t="n"/>
      <c r="D27" s="172" t="n"/>
      <c r="E27" s="25" t="n"/>
      <c r="F27" s="14" t="n"/>
      <c r="G27" s="26" t="n"/>
      <c r="H27" s="15" t="n"/>
      <c r="I27" s="13" t="n"/>
      <c r="J27" s="13" t="n"/>
    </row>
    <row r="28" ht="13" customHeight="1" s="113">
      <c r="A28" s="171" t="n"/>
      <c r="D28" s="172" t="n"/>
      <c r="E28" s="25" t="n"/>
      <c r="F28" s="14" t="n"/>
      <c r="G28" s="26" t="n"/>
      <c r="H28" s="15" t="n"/>
      <c r="I28" s="13" t="n"/>
      <c r="J28" s="13" t="n"/>
    </row>
    <row r="29" ht="13" customHeight="1" s="113">
      <c r="A29" s="171" t="n"/>
      <c r="D29" s="172" t="n"/>
      <c r="E29" s="25" t="n"/>
      <c r="F29" s="14" t="n"/>
      <c r="G29" s="26" t="n"/>
      <c r="H29" s="15" t="n"/>
      <c r="I29" s="13" t="n"/>
      <c r="J29" s="13" t="n"/>
    </row>
    <row r="30" ht="13" customHeight="1" s="113">
      <c r="A30" s="171" t="n"/>
      <c r="D30" s="172" t="n"/>
      <c r="E30" s="25" t="n"/>
      <c r="F30" s="14" t="n"/>
      <c r="G30" s="26" t="n"/>
      <c r="H30" s="15" t="n"/>
      <c r="I30" s="13" t="n"/>
      <c r="J30" s="13" t="n"/>
    </row>
    <row r="31" ht="13" customHeight="1" s="113">
      <c r="A31" s="173" t="n"/>
      <c r="B31" s="174" t="n"/>
      <c r="C31" s="174" t="n"/>
      <c r="D31" s="175" t="n"/>
      <c r="E31" s="25" t="n"/>
      <c r="F31" s="14" t="n"/>
      <c r="G31" s="26" t="n"/>
      <c r="H31" s="15" t="n"/>
      <c r="I31" s="27" t="n"/>
      <c r="J31" s="27" t="n"/>
    </row>
    <row r="32" ht="13" customHeight="1" s="113">
      <c r="A32" s="31" t="n"/>
      <c r="B32" s="32" t="n"/>
      <c r="C32" s="32" t="n"/>
      <c r="D32" s="32" t="n"/>
      <c r="E32" s="28" t="n"/>
      <c r="F32" s="14" t="n"/>
      <c r="G32" s="33" t="n"/>
      <c r="H32" s="15" t="n"/>
      <c r="I32" s="15" t="n"/>
    </row>
    <row r="33" ht="23" customHeight="1" s="113">
      <c r="A33" s="176" t="inlineStr">
        <is>
          <t>【AIを用いたHP情報整理】</t>
        </is>
      </c>
      <c r="B33" s="177" t="n"/>
      <c r="C33" s="177" t="n"/>
      <c r="D33" s="177" t="n"/>
      <c r="E33" s="178" t="n"/>
      <c r="F33" s="176" t="inlineStr">
        <is>
          <t>【商談での情報整理】</t>
        </is>
      </c>
      <c r="G33" s="177" t="n"/>
      <c r="H33" s="177" t="n"/>
      <c r="I33" s="177" t="n"/>
      <c r="J33" s="178" t="n"/>
    </row>
    <row r="34" ht="13" customHeight="1" s="113">
      <c r="A34" s="179" t="inlineStr">
        <is>
          <t>項目</t>
        </is>
      </c>
      <c r="B34" s="180" t="n"/>
      <c r="C34" s="181" t="inlineStr">
        <is>
          <t>内容</t>
        </is>
      </c>
      <c r="D34" s="182" t="n"/>
      <c r="E34" s="183" t="n"/>
      <c r="F34" s="184" t="inlineStr">
        <is>
          <t>項目</t>
        </is>
      </c>
      <c r="G34" s="185" t="n"/>
      <c r="H34" s="186" t="inlineStr">
        <is>
          <t>内容</t>
        </is>
      </c>
      <c r="I34" s="187" t="n"/>
      <c r="J34" s="188" t="n"/>
    </row>
    <row r="35" ht="13" customHeight="1" s="113">
      <c r="A35" s="189" t="inlineStr">
        <is>
          <t>サービス概要</t>
        </is>
      </c>
      <c r="B35" s="190" t="n"/>
      <c r="C35" s="191" t="inlineStr">
        <is>
          <t>Test Service Overview</t>
        </is>
      </c>
      <c r="D35" s="192" t="n"/>
      <c r="E35" s="193" t="n"/>
      <c r="F35" s="189" t="inlineStr">
        <is>
          <t>サービス概要</t>
        </is>
      </c>
      <c r="G35" s="190" t="n"/>
      <c r="H35" s="34" t="inlineStr">
        <is>
          <t>顧問（エグゼクティブOB）を活用し、商談獲得をはじめとする企業の経営課題を解決するサービス 。顧問の経験・知見と、Saleshubが持つ5万人超のサポーターネットワークを組み合わせて活用できる 。</t>
        </is>
      </c>
      <c r="I35" s="194" t="inlineStr">
        <is>
          <t>顧問（エグゼクティブOB）を活用し、商談獲得をはじめとする企業の経営課題を解決するサービス 。顧問の経験・知見と、Saleshubが持つ5万人超のサポーターネットワークを組み合わせて活用できる 。</t>
        </is>
      </c>
      <c r="J35" s="193" t="n"/>
    </row>
    <row r="36" ht="13" customHeight="1" s="113">
      <c r="A36" s="195" t="inlineStr">
        <is>
          <t>サービスのビジネスモデル</t>
        </is>
      </c>
      <c r="B36" s="196" t="n"/>
      <c r="C36" s="197" t="inlineStr"/>
      <c r="D36" s="198" t="n"/>
      <c r="E36" s="199" t="n"/>
      <c r="F36" s="195" t="inlineStr">
        <is>
          <t>サービスのビジネスモデル</t>
        </is>
      </c>
      <c r="G36" s="196" t="n"/>
      <c r="H36" s="35" t="inlineStr">
        <is>
          <t>経験豊富な顧問（元役員クラス）と、課題を持つ企業をマッチング 。顧問は戦略立案や商談同行（同席）等のサポートを実施し、アポイント獲得は主に5万人以上のサポーターネットワークが担う 。</t>
        </is>
      </c>
      <c r="I36" s="200" t="inlineStr">
        <is>
          <t>経験豊富な顧問（元役員クラス）と、課題を持つ企業をマッチング 。顧問は戦略立案や商談同行（同席）等のサポートを実施し、アポイント獲得は主に5万人以上のサポーターネットワークが担う 。</t>
        </is>
      </c>
      <c r="J36" s="199" t="n"/>
    </row>
    <row r="37" ht="13" customHeight="1" s="113">
      <c r="A37" s="195" t="inlineStr">
        <is>
          <t>サービスの強み</t>
        </is>
      </c>
      <c r="B37" s="196" t="n"/>
      <c r="C37" s="197" t="inlineStr"/>
      <c r="D37" s="198" t="n"/>
      <c r="E37" s="199" t="n"/>
      <c r="F37" s="195" t="inlineStr">
        <is>
          <t>サービスの強み</t>
        </is>
      </c>
      <c r="G37" s="196" t="n"/>
      <c r="H37" s="35" t="inlineStr">
        <is>
          <t>* 低価格: 業界平均の半額以下の価格で顧問活用が可能 。* 成果報酬: アポイント獲得に対して成果報酬が発生する明瞭な料金体系 。* 柔軟な契約: 契約期間の縛りがなく、月額更新でいつでも解約可能（違約金なし）。* 人脈の枯渇回避: 顧問自身のネットワークだけでなく、5万人超のSaleshubネットワークを併用できる 。</t>
        </is>
      </c>
      <c r="I37" s="200" t="inlineStr">
        <is>
          <t>* 低価格: 業界平均の半額以下の価格で顧問活用が可能 。* 成果報酬: アポイント獲得に対して成果報酬が発生する明瞭な料金体系 。* 柔軟な契約: 契約期間の縛りがなく、月額更新でいつでも解約可能（違約金なし）。* 人脈の枯渇回避: 顧問自身のネットワークだけでなく、5万人超のSaleshubネットワークを併用できる 。</t>
        </is>
      </c>
      <c r="J37" s="199" t="n"/>
    </row>
    <row r="38" ht="13" customHeight="1" s="113">
      <c r="A38" s="195" t="inlineStr">
        <is>
          <t>他社との違い</t>
        </is>
      </c>
      <c r="B38" s="196" t="n"/>
      <c r="C38" s="197" t="inlineStr"/>
      <c r="D38" s="198" t="n"/>
      <c r="E38" s="199" t="n"/>
      <c r="F38" s="195" t="inlineStr">
        <is>
          <t>他社との違い</t>
        </is>
      </c>
      <c r="G38" s="196" t="n"/>
      <c r="H38" s="35" t="inlineStr">
        <is>
          <t>一般的な顧問サービスは月額固定費用が高額で、アポ獲得の有無に関わらず費用が発生するが 、エキスパートハブは低額の固定費に抑え、アポイント獲得ごとに成果報酬を支払うシステム 。また、独自システム（特許取得済み）により公平性の高い支払い体系（企業規模・役職に応じたアポ単価）を実現している 。</t>
        </is>
      </c>
      <c r="I38" s="200" t="inlineStr">
        <is>
          <t>一般的な顧問サービスは月額固定費用が高額で、アポ獲得の有無に関わらず費用が発生するが 、エキスパートハブは低額の固定費に抑え、アポイント獲得ごとに成果報酬を支払うシステム 。また、独自システム（特許取得済み）により公平性の高い支払い体系（企業規模・役職に応じたアポ単価）を実現している 。</t>
        </is>
      </c>
      <c r="J38" s="199" t="n"/>
    </row>
    <row r="39" ht="13" customHeight="1" s="113">
      <c r="A39" s="195" t="inlineStr">
        <is>
          <t>料金プラン・料金形態</t>
        </is>
      </c>
      <c r="B39" s="196" t="n"/>
      <c r="C39" s="197" t="inlineStr"/>
      <c r="D39" s="198" t="n"/>
      <c r="E39" s="199" t="n"/>
      <c r="F39" s="195" t="inlineStr">
        <is>
          <t>料金プラン・料金形態</t>
        </is>
      </c>
      <c r="G39" s="196" t="n"/>
      <c r="H39" s="35" t="inlineStr">
        <is>
          <t>月額料金: ¥150,000～（税別）成果報酬: サポーターからの商談獲得1件ごと（企業規模・役職に応じて変動）</t>
        </is>
      </c>
      <c r="I39" s="200" t="inlineStr">
        <is>
          <t>月額料金: ¥150,000～（税別）成果報酬: サポーターからの商談獲得1件ごと（企業規模・役職に応じて変動）</t>
        </is>
      </c>
      <c r="J39" s="199" t="n"/>
    </row>
    <row r="40" ht="13" customHeight="1" s="113">
      <c r="A40" s="195" t="inlineStr">
        <is>
          <t>初期費用有無</t>
        </is>
      </c>
      <c r="B40" s="196" t="n"/>
      <c r="C40" s="197" t="inlineStr"/>
      <c r="D40" s="198" t="n"/>
      <c r="E40" s="199" t="n"/>
      <c r="F40" s="195" t="inlineStr">
        <is>
          <t>初期費用有無</t>
        </is>
      </c>
      <c r="G40" s="196" t="n"/>
      <c r="H40" s="35" t="inlineStr">
        <is>
          <t>有り 。 初期セットアップ料金：¥500,000（税別）。</t>
        </is>
      </c>
      <c r="I40" s="200" t="inlineStr">
        <is>
          <t>有り 。 初期セットアップ料金：¥500,000（税別）。</t>
        </is>
      </c>
      <c r="J40" s="199" t="n"/>
    </row>
    <row r="41" ht="13" customHeight="1" s="113">
      <c r="A41" s="195" t="inlineStr">
        <is>
          <t>最低料金</t>
        </is>
      </c>
      <c r="B41" s="196" t="n"/>
      <c r="C41" s="197" t="inlineStr"/>
      <c r="D41" s="198" t="n"/>
      <c r="E41" s="199" t="n"/>
      <c r="F41" s="195" t="inlineStr">
        <is>
          <t>最低料金</t>
        </is>
      </c>
      <c r="G41" s="196" t="n"/>
      <c r="H41" s="35" t="inlineStr">
        <is>
          <t>月額 ¥150,000（税別）。</t>
        </is>
      </c>
      <c r="I41" s="200" t="inlineStr">
        <is>
          <t>月額 ¥150,000（税別）。</t>
        </is>
      </c>
      <c r="J41" s="199" t="n"/>
    </row>
    <row r="42" ht="13" customHeight="1" s="113">
      <c r="A42" s="195" t="inlineStr">
        <is>
          <t>最短契約期間</t>
        </is>
      </c>
      <c r="B42" s="196" t="n"/>
      <c r="C42" s="197" t="inlineStr"/>
      <c r="D42" s="198" t="n"/>
      <c r="E42" s="199" t="n"/>
      <c r="F42" s="195" t="inlineStr">
        <is>
          <t>最短契約期間</t>
        </is>
      </c>
      <c r="G42" s="196" t="n"/>
      <c r="H42" s="35" t="inlineStr">
        <is>
          <t>制限なし。 月額での契約更新となり、違約金なしで前月申告によりいつでも解約が可能。</t>
        </is>
      </c>
      <c r="I42" s="200" t="inlineStr">
        <is>
          <t>制限なし。 月額での契約更新となり、違約金なしで前月申告によりいつでも解約が可能。</t>
        </is>
      </c>
      <c r="J42" s="199" t="n"/>
    </row>
    <row r="43" ht="13" customHeight="1" s="113">
      <c r="A43" s="195" t="inlineStr">
        <is>
          <t>競合企業、類似サービス</t>
        </is>
      </c>
      <c r="B43" s="196" t="n"/>
      <c r="C43" s="197" t="inlineStr"/>
      <c r="D43" s="198" t="n"/>
      <c r="E43" s="199" t="n"/>
      <c r="F43" s="195" t="inlineStr">
        <is>
          <t>競合企業、類似サービス</t>
        </is>
      </c>
      <c r="G43" s="196" t="n"/>
      <c r="H43" s="35" t="inlineStr">
        <is>
          <t>一般的な顧問サービス 、および動画内では「ビジネスタンク」などの名称も挙がっている。</t>
        </is>
      </c>
      <c r="I43" s="200" t="inlineStr">
        <is>
          <t>一般的な顧問サービス 、「ビジネスタンク」などの名称も挙がっている。</t>
        </is>
      </c>
      <c r="J43" s="199" t="n"/>
    </row>
    <row r="44" ht="13" customHeight="1" s="113">
      <c r="A44" s="195" t="inlineStr">
        <is>
          <t>顧問、会員登録人数</t>
        </is>
      </c>
      <c r="B44" s="196" t="n"/>
      <c r="C44" s="197" t="inlineStr"/>
      <c r="D44" s="198" t="n"/>
      <c r="E44" s="199" t="n"/>
      <c r="F44" s="195" t="inlineStr">
        <is>
          <t>顧問、会員登録人数</t>
        </is>
      </c>
      <c r="G44" s="196" t="n"/>
      <c r="H44" s="35" t="inlineStr">
        <is>
          <t>登録顧問の例: KDDI元取締役、明治安田生命元取締役、オリックス元取締役、キヤノン元本部長、リクルート元営業部長、JTB元企画部長など、上場企業の役員・管理職経験者が多数参画 。会員登録人数: 顧客紹介サービス「Saleshub」のネットワークとして、全国に5万人以上のビジネスパーソンが登録 。</t>
        </is>
      </c>
      <c r="I44" s="200" t="inlineStr">
        <is>
          <t>登録顧問の例: KDDI元取締役、明治安田生命元取締役、オリックス元取締役、キヤノン元本部長、リクルート元営業部長、JTB元企画部長など、上場企業の役員・管理職経験者が多数参画 。会員登録人数: 顧客紹介サービス「Saleshub」のネットワークとして、全国に5万人以上のビジネスパーソンが登録 。</t>
        </is>
      </c>
      <c r="J44" s="199" t="n"/>
    </row>
    <row r="45" ht="13" customHeight="1" s="113">
      <c r="A45" s="195" t="inlineStr">
        <is>
          <t>依頼業務内容</t>
        </is>
      </c>
      <c r="B45" s="196" t="n"/>
      <c r="C45" s="197" t="inlineStr"/>
      <c r="D45" s="198" t="n"/>
      <c r="E45" s="199" t="n"/>
      <c r="F45" s="195" t="inlineStr">
        <is>
          <t>依頼業務内容</t>
        </is>
      </c>
      <c r="G45" s="196" t="n"/>
      <c r="H45" s="35" t="inlineStr">
        <is>
          <t>営業ニーズ以外にも幅広く対応 。新規販路開拓 、既存顧客深耕 、営業組織強化 、新卒/中途採用 、商品開発 、資金調達 、店舗開発 など 。</t>
        </is>
      </c>
      <c r="I45" s="200" t="inlineStr">
        <is>
          <t>営業ニーズ以外にも幅広く対応 。新規販路開拓 、既存顧客深耕 、営業組織強化 、新卒/中途採用 、商品開発 、資金調達 、店舗開発 など 。</t>
        </is>
      </c>
      <c r="J45" s="199" t="n"/>
    </row>
    <row r="46" ht="13" customHeight="1" s="113">
      <c r="A46" s="201" t="inlineStr">
        <is>
          <t>導入実績</t>
        </is>
      </c>
      <c r="B46" s="202" t="n"/>
      <c r="C46" s="203" t="inlineStr"/>
      <c r="D46" s="204" t="n"/>
      <c r="E46" s="205" t="n"/>
      <c r="F46" s="201" t="inlineStr">
        <is>
          <t>導入実績</t>
        </is>
      </c>
      <c r="G46" s="202" t="n"/>
      <c r="H46" s="36" t="inlineStr">
        <is>
          <t>* 外食産業への販路開拓（こんにゃく製造業）： すかいらーくグループ含む外食企業3社と年間¥6,000万円の取引が実現 。* 集客増加（お土産物小売）： JTB含む2社の代理店でツアーが決定し、年間¥8,000万円の売上増加 。* ヒット商品開発（製造業）： 初年度から製造業8社と年間¥1.6億円の取引が実現 。</t>
        </is>
      </c>
      <c r="I46" s="206" t="inlineStr">
        <is>
          <t>* 外食産業への販路開拓（こんにゃく製造業）： すかいらーくグループ含む外食企業3社と年間¥6,000万円の取引が実現 。* 集客増加（お土産物小売）： JTB含む2社の代理店でツアーが決定し、年間¥8,000万円の売上増加 。* ヒット商品開発（製造業）： 初年度から製造業8社と年間¥1.6億円の取引が実現 。</t>
        </is>
      </c>
      <c r="J46" s="205" t="n"/>
    </row>
    <row r="47" ht="13" customHeight="1" s="113">
      <c r="A47" s="37" t="n"/>
      <c r="B47" s="38" t="n"/>
      <c r="C47" s="39" t="n"/>
      <c r="D47" s="40" t="n"/>
      <c r="E47" s="33" t="n"/>
      <c r="F47" s="41" t="n"/>
      <c r="G47" s="33" t="n"/>
      <c r="H47" s="42" t="n"/>
      <c r="I47" s="42" t="n"/>
    </row>
    <row r="48" ht="13" customHeight="1" s="113">
      <c r="A48" s="207" t="inlineStr">
        <is>
          <t>【全体統括コメント】</t>
        </is>
      </c>
      <c r="B48" s="208" t="n"/>
      <c r="C48" s="208" t="n"/>
      <c r="D48" s="208" t="n"/>
      <c r="E48" s="208" t="n"/>
      <c r="F48" s="208" t="n"/>
      <c r="G48" s="208" t="n"/>
      <c r="H48" s="208" t="n"/>
      <c r="I48" s="208" t="n"/>
      <c r="J48" s="209" t="n"/>
    </row>
    <row r="49" ht="13" customHeight="1" s="113">
      <c r="A49" s="210" t="n"/>
      <c r="B49" s="211" t="n"/>
      <c r="C49" s="211" t="n"/>
      <c r="D49" s="211" t="n"/>
      <c r="E49" s="211" t="n"/>
      <c r="F49" s="211" t="n"/>
      <c r="G49" s="211" t="n"/>
      <c r="H49" s="211" t="n"/>
      <c r="I49" s="211" t="n"/>
      <c r="J49" s="212" t="n"/>
    </row>
    <row r="50" ht="12" customHeight="1" s="113">
      <c r="A50" s="213" t="inlineStr"/>
      <c r="B50" s="208" t="n"/>
      <c r="C50" s="208" t="n"/>
      <c r="D50" s="208" t="n"/>
      <c r="E50" s="208" t="n"/>
      <c r="F50" s="208" t="n"/>
      <c r="G50" s="208" t="n"/>
      <c r="H50" s="208" t="n"/>
      <c r="I50" s="208" t="n"/>
      <c r="J50" s="209" t="n"/>
    </row>
    <row r="51" ht="12" customHeight="1" s="113">
      <c r="A51" s="214" t="n"/>
      <c r="J51" s="215" t="n"/>
    </row>
    <row r="52" ht="12" customHeight="1" s="113">
      <c r="A52" s="214" t="n"/>
      <c r="J52" s="215" t="n"/>
    </row>
    <row r="53" ht="12" customHeight="1" s="113">
      <c r="A53" s="214" t="n"/>
      <c r="J53" s="215" t="n"/>
    </row>
    <row r="54" ht="12" customHeight="1" s="113">
      <c r="A54" s="214" t="n"/>
      <c r="J54" s="215" t="n"/>
    </row>
    <row r="55" ht="12" customHeight="1" s="113">
      <c r="A55" s="214" t="n"/>
      <c r="J55" s="215" t="n"/>
    </row>
    <row r="56" ht="12" customHeight="1" s="113">
      <c r="A56" s="214" t="n"/>
      <c r="J56" s="215" t="n"/>
    </row>
    <row r="57" ht="12" customHeight="1" s="113">
      <c r="A57" s="214" t="n"/>
      <c r="J57" s="215" t="n"/>
    </row>
    <row r="58" ht="12" customHeight="1" s="113">
      <c r="A58" s="214" t="n"/>
      <c r="J58" s="215" t="n"/>
    </row>
    <row r="59" ht="12" customHeight="1" s="113">
      <c r="A59" s="214" t="n"/>
      <c r="J59" s="215" t="n"/>
    </row>
    <row r="60" ht="12" customHeight="1" s="113">
      <c r="A60" s="214" t="n"/>
      <c r="J60" s="215" t="n"/>
    </row>
    <row r="61" ht="12" customHeight="1" s="113">
      <c r="A61" s="214" t="n"/>
      <c r="J61" s="215" t="n"/>
    </row>
    <row r="62" ht="12" customHeight="1" s="113">
      <c r="A62" s="214" t="n"/>
      <c r="J62" s="215" t="n"/>
    </row>
    <row r="63" ht="12" customHeight="1" s="113">
      <c r="A63" s="214" t="n"/>
      <c r="J63" s="215" t="n"/>
    </row>
    <row r="64" ht="12" customHeight="1" s="113">
      <c r="A64" s="214" t="n"/>
      <c r="J64" s="215" t="n"/>
    </row>
    <row r="65" ht="12" customHeight="1" s="113">
      <c r="A65" s="214" t="n"/>
      <c r="J65" s="215" t="n"/>
    </row>
    <row r="66" ht="12" customHeight="1" s="113">
      <c r="A66" s="214" t="n"/>
      <c r="J66" s="215" t="n"/>
    </row>
    <row r="67" ht="12" customHeight="1" s="113">
      <c r="A67" s="214" t="n"/>
      <c r="J67" s="215" t="n"/>
    </row>
    <row r="68" ht="12" customHeight="1" s="113">
      <c r="A68" s="210" t="n"/>
      <c r="B68" s="211" t="n"/>
      <c r="C68" s="211" t="n"/>
      <c r="D68" s="211" t="n"/>
      <c r="E68" s="211" t="n"/>
      <c r="F68" s="211" t="n"/>
      <c r="G68" s="211" t="n"/>
      <c r="H68" s="211" t="n"/>
      <c r="I68" s="211" t="n"/>
      <c r="J68" s="212" t="n"/>
    </row>
    <row r="69" ht="13" customHeight="1" s="113">
      <c r="A69" s="42" t="n"/>
      <c r="B69" s="38" t="n"/>
      <c r="C69" s="42" t="n"/>
      <c r="D69" s="41" t="n"/>
      <c r="E69" s="41" t="n"/>
      <c r="F69" s="41" t="n"/>
      <c r="G69" s="33" t="n"/>
      <c r="H69" s="42" t="n"/>
      <c r="I69" s="42" t="n"/>
      <c r="J69" s="42" t="n"/>
    </row>
    <row r="70" ht="13" customHeight="1" s="113">
      <c r="A70" s="43" t="inlineStr">
        <is>
          <t>項目</t>
        </is>
      </c>
      <c r="B70" s="44" t="inlineStr">
        <is>
          <t>チェックプロセス</t>
        </is>
      </c>
      <c r="C70" s="43" t="inlineStr">
        <is>
          <t>NO</t>
        </is>
      </c>
      <c r="D70" s="216" t="inlineStr">
        <is>
          <t>内容</t>
        </is>
      </c>
      <c r="E70" s="154" t="n"/>
      <c r="F70" s="155" t="n"/>
      <c r="G70" s="45" t="inlineStr">
        <is>
          <t xml:space="preserve"> 評価</t>
        </is>
      </c>
      <c r="H70" s="45" t="inlineStr">
        <is>
          <t>点数</t>
        </is>
      </c>
      <c r="I70" s="46" t="inlineStr">
        <is>
          <t>基準</t>
        </is>
      </c>
      <c r="J70" s="46" t="inlineStr">
        <is>
          <t>備考</t>
        </is>
      </c>
    </row>
    <row r="71" ht="22" customHeight="1" s="113">
      <c r="A71" s="217" t="inlineStr">
        <is>
          <t>商談前</t>
        </is>
      </c>
      <c r="B71" s="174" t="n"/>
      <c r="C71" s="174" t="n"/>
      <c r="D71" s="174" t="n"/>
      <c r="E71" s="174" t="n"/>
      <c r="F71" s="174" t="n"/>
      <c r="G71" s="174" t="n"/>
      <c r="H71" s="174" t="n"/>
      <c r="I71" s="174" t="n"/>
      <c r="J71" s="175" t="n"/>
    </row>
    <row r="72" ht="14" customHeight="1" s="113">
      <c r="A72" s="218" t="inlineStr">
        <is>
          <t>商談前
IS</t>
        </is>
      </c>
      <c r="B72" s="219" t="inlineStr">
        <is>
          <t>速度</t>
        </is>
      </c>
      <c r="C72" s="47" t="n">
        <v>1</v>
      </c>
      <c r="D72" s="220" t="inlineStr">
        <is>
          <t>HP問い合わせに対してのレスポンス速度</t>
        </is>
      </c>
      <c r="E72" s="154" t="n"/>
      <c r="F72" s="155" t="n"/>
      <c r="G72" s="48" t="n"/>
      <c r="H72" s="49">
        <f>IF(G72="〇", 1, IF(G72="△", 0.5, 0))</f>
        <v/>
      </c>
      <c r="I72" s="50" t="inlineStr">
        <is>
          <t>〇：6時間以内
△：24時間以内
✕：24時間以上</t>
        </is>
      </c>
      <c r="J72" s="51" t="inlineStr">
        <is>
          <t>24時間以上の場合は記載</t>
        </is>
      </c>
    </row>
    <row r="73" ht="14" customHeight="1" s="113">
      <c r="A73" s="221" t="n"/>
      <c r="B73" s="221" t="n"/>
      <c r="C73" s="47" t="n">
        <v>2</v>
      </c>
      <c r="D73" s="220" t="inlineStr">
        <is>
          <t>商談前段階における連絡の基本的な返信速度（平均）</t>
        </is>
      </c>
      <c r="E73" s="154" t="n"/>
      <c r="F73" s="155" t="n"/>
      <c r="G73" s="48" t="n"/>
      <c r="H73" s="49">
        <f>IF(G73="〇", 1, IF(G73="△", 0.5, 0))</f>
        <v/>
      </c>
      <c r="I73" s="50" t="inlineStr">
        <is>
          <t>〇：6時間以内
△：24時間以内
✕：24時間以上</t>
        </is>
      </c>
      <c r="J73" s="52" t="inlineStr">
        <is>
          <t>24時間以上の場合は記載</t>
        </is>
      </c>
    </row>
    <row r="74" ht="14" customHeight="1" s="113">
      <c r="A74" s="221" t="n"/>
      <c r="B74" s="222" t="n"/>
      <c r="C74" s="47" t="n">
        <v>3</v>
      </c>
      <c r="D74" s="220" t="inlineStr">
        <is>
          <t>メールでのラリー回数は少なく、スムーズに日程調整ができた。</t>
        </is>
      </c>
      <c r="E74" s="154" t="n"/>
      <c r="F74" s="155" t="n"/>
      <c r="G74" s="48" t="n"/>
      <c r="H74" s="49">
        <f>IF(G74="〇", 1, IF(G74="△", 0.5, 0))</f>
        <v/>
      </c>
      <c r="I74" s="50" t="inlineStr">
        <is>
          <t>〇：ラリー回数1~2
△：ラリー回数2~3
✕：3往復以上のラリー</t>
        </is>
      </c>
      <c r="J74" s="51" t="inlineStr">
        <is>
          <t>✕の具体的内容↓</t>
        </is>
      </c>
    </row>
    <row r="75" ht="13" customHeight="1" s="113">
      <c r="A75" s="221" t="n"/>
      <c r="B75" s="219" t="inlineStr">
        <is>
          <t>丁寧さ</t>
        </is>
      </c>
      <c r="C75" s="47" t="n">
        <v>4</v>
      </c>
      <c r="D75" s="220" t="inlineStr">
        <is>
          <t>問い合わせに対しての返信はテンプレートではなく自社に合わせた形での連絡だったか。</t>
        </is>
      </c>
      <c r="E75" s="154" t="n"/>
      <c r="F75" s="155" t="n"/>
      <c r="G75" s="48" t="n"/>
      <c r="H75" s="49">
        <f>IF(G75="〇", 1, IF(G75="△", 0.5, 0))</f>
        <v/>
      </c>
      <c r="I75" s="50" t="inlineStr">
        <is>
          <t>〇：自社に合わせた返信
✕：テンプレートと判断できる</t>
        </is>
      </c>
      <c r="J75" s="52" t="n"/>
    </row>
    <row r="76" ht="14" customHeight="1" s="113">
      <c r="A76" s="221" t="n"/>
      <c r="B76" s="221" t="n"/>
      <c r="C76" s="47" t="n">
        <v>5</v>
      </c>
      <c r="D76" s="220" t="inlineStr">
        <is>
          <t>メールの文面は言葉遣いが丁寧で、誤字脱字がなく、不快感や違和感を感じるところはなかったか。</t>
        </is>
      </c>
      <c r="E76" s="154" t="n"/>
      <c r="F76" s="155" t="n"/>
      <c r="G76" s="48" t="n"/>
      <c r="H76" s="49">
        <f>IF(G76="〇", 1, IF(G76="△", 0.5, 0))</f>
        <v/>
      </c>
      <c r="I76" s="50" t="inlineStr">
        <is>
          <t>〇：一切懸念なし
△：若干の懸念を感じる
✕：違和感、懸念を強く感じる</t>
        </is>
      </c>
      <c r="J76" s="51" t="inlineStr">
        <is>
          <t>△✕の具体的内容↓</t>
        </is>
      </c>
    </row>
    <row r="77" ht="13" customHeight="1" s="113">
      <c r="A77" s="221" t="n"/>
      <c r="B77" s="221" t="n"/>
      <c r="C77" s="47" t="n">
        <v>6</v>
      </c>
      <c r="D77" s="220" t="inlineStr">
        <is>
          <t>メールで記載されていた候補日時はスケジューラーURLではなくテキストで送ってきた。</t>
        </is>
      </c>
      <c r="E77" s="154" t="n"/>
      <c r="F77" s="155" t="n"/>
      <c r="G77" s="48" t="n"/>
      <c r="H77" s="49">
        <f>IF(G77="〇", 1, IF(G77="△", 0.5, 0))</f>
        <v/>
      </c>
      <c r="I77" s="50" t="inlineStr">
        <is>
          <t>〇：テキストのみ候補日程多
△：テキストのみ候補日程少
✕：スケジューラー添付のみ</t>
        </is>
      </c>
      <c r="J77" s="51" t="n"/>
    </row>
    <row r="78" ht="14" customHeight="1" s="113">
      <c r="A78" s="221" t="n"/>
      <c r="B78" s="222" t="n"/>
      <c r="C78" s="47" t="n">
        <v>7</v>
      </c>
      <c r="D78" s="220" t="inlineStr">
        <is>
          <t>メールで事前に資料が共有された。</t>
        </is>
      </c>
      <c r="E78" s="154" t="n"/>
      <c r="F78" s="155" t="n"/>
      <c r="G78" s="48" t="n"/>
      <c r="H78" s="49">
        <f>IF(G78="〇", 1, IF(G78="△", 0.5, 0))</f>
        <v/>
      </c>
      <c r="I78" s="50" t="inlineStr">
        <is>
          <t>〇：2つ以上の共有あり
△：1つのみ共有有
✕：共有なし</t>
        </is>
      </c>
      <c r="J78" s="51" t="inlineStr">
        <is>
          <t>事前資料の内容↓</t>
        </is>
      </c>
    </row>
    <row r="79" ht="13" customHeight="1" s="113">
      <c r="A79" s="221" t="n"/>
      <c r="B79" s="103" t="inlineStr">
        <is>
          <t>仕組み</t>
        </is>
      </c>
      <c r="C79" s="53" t="n">
        <v>8</v>
      </c>
      <c r="D79" s="220" t="inlineStr">
        <is>
          <t>メールでの連絡を希望していたにも関わらず電話をかけていないか</t>
        </is>
      </c>
      <c r="E79" s="154" t="n"/>
      <c r="F79" s="155" t="n"/>
      <c r="G79" s="48" t="n"/>
      <c r="H79" s="49">
        <f>IF(G79="〇", 1, IF(G79="△", 0.5, 0))</f>
        <v/>
      </c>
      <c r="I79" s="50" t="inlineStr">
        <is>
          <t>〇：希望通りメールで連携
△：電話をかけてきた。
✕：電話を繰り返しかけてきた。</t>
        </is>
      </c>
      <c r="J79" s="51" t="n"/>
    </row>
    <row r="80" ht="14" customHeight="1" s="113">
      <c r="A80" s="221" t="n"/>
      <c r="B80" s="172" t="n"/>
      <c r="C80" s="53" t="n">
        <v>9</v>
      </c>
      <c r="D80" s="220" t="inlineStr">
        <is>
          <t>メールに事前質問は記載されていたか？</t>
        </is>
      </c>
      <c r="E80" s="154" t="n"/>
      <c r="F80" s="155" t="n"/>
      <c r="G80" s="48" t="n"/>
      <c r="H80" s="49">
        <f>IF(G80="〇", 1, IF(G80="△", 0.5, 0))</f>
        <v/>
      </c>
      <c r="I80" s="50" t="inlineStr">
        <is>
          <t>〇：3つ以上の質問記載
△：～3つ以内の質問記載
✕：質問記載なし</t>
        </is>
      </c>
      <c r="J80" s="51" t="inlineStr">
        <is>
          <t>事前質問内容添付↓</t>
        </is>
      </c>
    </row>
    <row r="81" ht="14" customHeight="1" s="113">
      <c r="A81" s="222" t="n"/>
      <c r="B81" s="172" t="n"/>
      <c r="C81" s="53" t="n">
        <v>10</v>
      </c>
      <c r="D81" s="220" t="inlineStr">
        <is>
          <t>商談前のリマインド連絡があった。</t>
        </is>
      </c>
      <c r="E81" s="154" t="n"/>
      <c r="F81" s="155" t="n"/>
      <c r="G81" s="48" t="n"/>
      <c r="H81" s="49">
        <f>IF(G81="〇", 1, IF(G81="△", 0.5, 0))</f>
        <v/>
      </c>
      <c r="I81" s="50" t="inlineStr">
        <is>
          <t>〇：前日と当日リマインド
△：当日リマインド
✕：リマインドなし</t>
        </is>
      </c>
      <c r="J81" s="51" t="inlineStr">
        <is>
          <t>タイミング↓</t>
        </is>
      </c>
    </row>
    <row r="82" ht="22" customHeight="1" s="113">
      <c r="A82" s="217" t="inlineStr">
        <is>
          <t>商談</t>
        </is>
      </c>
      <c r="B82" s="174" t="n"/>
      <c r="C82" s="174" t="n"/>
      <c r="D82" s="174" t="n"/>
      <c r="E82" s="174" t="n"/>
      <c r="F82" s="174" t="n"/>
      <c r="G82" s="174" t="n"/>
      <c r="H82" s="174" t="n"/>
      <c r="I82" s="174" t="n"/>
      <c r="J82" s="175" t="n"/>
    </row>
    <row r="83" ht="13" customHeight="1" s="113">
      <c r="A83" s="223" t="inlineStr">
        <is>
          <t>商談態勢</t>
        </is>
      </c>
      <c r="B83" s="224" t="inlineStr">
        <is>
          <t>オンライン環境</t>
        </is>
      </c>
      <c r="C83" s="54" t="n">
        <v>1</v>
      </c>
      <c r="D83" s="49" t="inlineStr">
        <is>
          <t>wifiなど、通信環境は安定しているか？(遅延△、切断×)</t>
        </is>
      </c>
      <c r="E83" s="154" t="n"/>
      <c r="F83" s="155" t="n"/>
      <c r="G83" s="48" t="inlineStr">
        <is>
          <t>〇</t>
        </is>
      </c>
      <c r="H83" s="49">
        <f>IF(G83="〇", 1, IF(G83="△", 0.5, 0))</f>
        <v/>
      </c>
      <c r="I83" s="56" t="n"/>
      <c r="J83" s="57" t="n"/>
    </row>
    <row r="84" ht="42" customHeight="1" s="113">
      <c r="A84" s="171" t="n"/>
      <c r="B84" s="221" t="n"/>
      <c r="C84" s="54" t="n">
        <v>2</v>
      </c>
      <c r="D84" s="50" t="inlineStr">
        <is>
          <t>オンラインの入室はオンタイムで参加したか？</t>
        </is>
      </c>
      <c r="E84" s="154" t="n"/>
      <c r="F84" s="155" t="n"/>
      <c r="G84" s="48" t="inlineStr">
        <is>
          <t>〇</t>
        </is>
      </c>
      <c r="H84" s="49">
        <f>IF(G84="〇", 1, IF(G84="△", 0.5, 0))</f>
        <v/>
      </c>
      <c r="I84" s="58" t="inlineStr">
        <is>
          <t>〇：オンタイム1~3分前
△：オンタイム
✕：遅刻</t>
        </is>
      </c>
      <c r="J84" s="59" t="n"/>
    </row>
    <row r="85" ht="56" customHeight="1" s="113">
      <c r="A85" s="171" t="n"/>
      <c r="B85" s="221" t="n"/>
      <c r="C85" s="54" t="n">
        <v>3</v>
      </c>
      <c r="D85" s="50" t="inlineStr">
        <is>
          <t>カメラに映る背景は適切か？</t>
        </is>
      </c>
      <c r="E85" s="154" t="n"/>
      <c r="F85" s="155" t="n"/>
      <c r="G85" s="48" t="inlineStr">
        <is>
          <t>〇</t>
        </is>
      </c>
      <c r="H85" s="49">
        <f>IF(G85="〇", 1, IF(G85="△", 0.5, 0))</f>
        <v/>
      </c>
      <c r="I85" s="58" t="inlineStr">
        <is>
          <t>〇：背景画像利用あり
△：背景画像無、オフィス内
✕：ビジネスシーンに不適切な背景</t>
        </is>
      </c>
      <c r="J85" s="59" t="n"/>
    </row>
    <row r="86" ht="13" customHeight="1" s="113">
      <c r="A86" s="171" t="n"/>
      <c r="B86" s="221" t="n"/>
      <c r="C86" s="54" t="n">
        <v>4</v>
      </c>
      <c r="D86" s="50" t="inlineStr">
        <is>
          <t>音声は遠く聞こえたりハウリングすることなくクリアに聞こえているか？</t>
        </is>
      </c>
      <c r="E86" s="154" t="n"/>
      <c r="F86" s="155" t="n"/>
      <c r="G86" s="48" t="inlineStr">
        <is>
          <t>〇</t>
        </is>
      </c>
      <c r="H86" s="49">
        <f>IF(G86="〇", 1, IF(G86="△", 0.5, 0))</f>
        <v/>
      </c>
      <c r="I86" s="60" t="n"/>
      <c r="J86" s="61" t="n"/>
    </row>
    <row r="87" ht="13" customHeight="1" s="113">
      <c r="A87" s="171" t="n"/>
      <c r="B87" s="221" t="n"/>
      <c r="C87" s="54" t="n">
        <v>5</v>
      </c>
      <c r="D87" s="50" t="inlineStr">
        <is>
          <t>騒音・雑音が横から聞こえないか？</t>
        </is>
      </c>
      <c r="E87" s="154" t="n"/>
      <c r="F87" s="155" t="n"/>
      <c r="G87" s="48" t="inlineStr">
        <is>
          <t>〇</t>
        </is>
      </c>
      <c r="H87" s="49">
        <f>IF(G87="〇", 1, IF(G87="△", 0.5, 0))</f>
        <v/>
      </c>
      <c r="I87" s="58" t="n"/>
      <c r="J87" s="59" t="n"/>
    </row>
    <row r="88" ht="13" customHeight="1" s="113">
      <c r="A88" s="171" t="n"/>
      <c r="B88" s="221" t="n"/>
      <c r="C88" s="54" t="n">
        <v>6</v>
      </c>
      <c r="D88" s="50" t="inlineStr">
        <is>
          <t>自分の顔が明るく見える照明の明るさか？</t>
        </is>
      </c>
      <c r="E88" s="154" t="n"/>
      <c r="F88" s="155" t="n"/>
      <c r="G88" s="48" t="inlineStr">
        <is>
          <t>〇</t>
        </is>
      </c>
      <c r="H88" s="49">
        <f>IF(G88="〇", 1, IF(G88="△", 0.5, 0))</f>
        <v/>
      </c>
      <c r="I88" s="60" t="n"/>
      <c r="J88" s="61" t="n"/>
    </row>
    <row r="89" ht="13" customHeight="1" s="113">
      <c r="A89" s="171" t="n"/>
      <c r="B89" s="221" t="n"/>
      <c r="C89" s="54" t="n">
        <v>7</v>
      </c>
      <c r="D89" s="220" t="inlineStr">
        <is>
          <t>生首状態や顔が見切れるなど、画角は問題ないか？</t>
        </is>
      </c>
      <c r="E89" s="154" t="n"/>
      <c r="F89" s="155" t="n"/>
      <c r="G89" s="48" t="inlineStr">
        <is>
          <t>〇</t>
        </is>
      </c>
      <c r="H89" s="49">
        <f>IF(G89="〇", 1, IF(G89="△", 0.5, 0))</f>
        <v/>
      </c>
      <c r="I89" s="60" t="n"/>
      <c r="J89" s="61" t="n"/>
    </row>
    <row r="90" ht="13" customHeight="1" s="113">
      <c r="A90" s="171" t="n"/>
      <c r="B90" s="222" t="n"/>
      <c r="C90" s="54" t="n">
        <v>8</v>
      </c>
      <c r="D90" s="220" t="inlineStr">
        <is>
          <t>資料の画面共有に時間を要していないか？</t>
        </is>
      </c>
      <c r="E90" s="154" t="n"/>
      <c r="F90" s="155" t="n"/>
      <c r="G90" s="48" t="n"/>
      <c r="H90" s="49">
        <f>IF(G90="〇", 1, IF(G90="△", 0.5, 0))</f>
        <v/>
      </c>
      <c r="I90" s="60" t="n"/>
      <c r="J90" s="61" t="n"/>
    </row>
    <row r="91" ht="13" customHeight="1" s="113">
      <c r="A91" s="171" t="n"/>
      <c r="B91" s="224" t="inlineStr">
        <is>
          <t>外見</t>
        </is>
      </c>
      <c r="C91" s="54" t="n">
        <v>9</v>
      </c>
      <c r="D91" s="50" t="inlineStr">
        <is>
          <t>ビジネスシーンに合わせた服装をしているか？（スーツ、ジャケット）</t>
        </is>
      </c>
      <c r="E91" s="154" t="n"/>
      <c r="F91" s="155" t="n"/>
      <c r="G91" s="48" t="inlineStr">
        <is>
          <t>△</t>
        </is>
      </c>
      <c r="H91" s="49">
        <f>IF(G91="〇", 1, IF(G91="△", 0.5, 0))</f>
        <v/>
      </c>
      <c r="I91" s="60" t="n"/>
      <c r="J91" s="59" t="inlineStr">
        <is>
          <t>パーカー、普段はわからない</t>
        </is>
      </c>
    </row>
    <row r="92" ht="13" customHeight="1" s="113">
      <c r="A92" s="171" t="n"/>
      <c r="B92" s="221" t="n"/>
      <c r="C92" s="54" t="n">
        <v>10</v>
      </c>
      <c r="D92" s="49" t="inlineStr">
        <is>
          <t>過度なアクセサリーはつけていないか？</t>
        </is>
      </c>
      <c r="E92" s="154" t="n"/>
      <c r="F92" s="155" t="n"/>
      <c r="G92" s="48" t="inlineStr">
        <is>
          <t>〇</t>
        </is>
      </c>
      <c r="H92" s="49">
        <f>IF(G92="〇", 1, IF(G92="△", 0.5, 0))</f>
        <v/>
      </c>
      <c r="I92" s="60" t="n"/>
      <c r="J92" s="61" t="n"/>
    </row>
    <row r="93" ht="13" customHeight="1" s="113">
      <c r="A93" s="171" t="n"/>
      <c r="B93" s="221" t="n"/>
      <c r="C93" s="54" t="n">
        <v>11</v>
      </c>
      <c r="D93" s="49" t="inlineStr">
        <is>
          <t>髪は清潔か？</t>
        </is>
      </c>
      <c r="E93" s="154" t="n"/>
      <c r="F93" s="155" t="n"/>
      <c r="G93" s="48" t="inlineStr">
        <is>
          <t>〇</t>
        </is>
      </c>
      <c r="H93" s="49">
        <f>IF(G93="〇", 1, IF(G93="△", 0.5, 0))</f>
        <v/>
      </c>
      <c r="I93" s="62" t="n"/>
      <c r="J93" s="63" t="n"/>
    </row>
    <row r="94" ht="13" customHeight="1" s="113">
      <c r="A94" s="171" t="n"/>
      <c r="B94" s="221" t="n"/>
      <c r="C94" s="54" t="n">
        <v>12</v>
      </c>
      <c r="D94" s="50" t="inlineStr">
        <is>
          <t>ひげは剃っているか？or 適度な化粧はしているか？</t>
        </is>
      </c>
      <c r="E94" s="154" t="n"/>
      <c r="F94" s="155" t="n"/>
      <c r="G94" s="48" t="inlineStr">
        <is>
          <t>〇</t>
        </is>
      </c>
      <c r="H94" s="81">
        <f>IF(G94="〇", 1, IF(G94="△", 0.5, 0))</f>
        <v/>
      </c>
      <c r="I94" s="64" t="n"/>
      <c r="J94" s="65" t="inlineStr">
        <is>
          <t>髭は生えているが清潔である</t>
        </is>
      </c>
    </row>
    <row r="95" ht="13" customHeight="1" s="113">
      <c r="A95" s="171" t="n"/>
      <c r="B95" s="222" t="n"/>
      <c r="C95" s="54" t="n">
        <v>13</v>
      </c>
      <c r="D95" s="49" t="inlineStr">
        <is>
          <t>姿勢は崩れていないか？</t>
        </is>
      </c>
      <c r="E95" s="154" t="n"/>
      <c r="F95" s="155" t="n"/>
      <c r="G95" s="48" t="inlineStr">
        <is>
          <t>〇</t>
        </is>
      </c>
      <c r="H95" s="81">
        <f>IF(G95="〇", 1, IF(G95="△", 0.5, 0))</f>
        <v/>
      </c>
      <c r="I95" s="64" t="n"/>
      <c r="J95" s="64" t="n"/>
    </row>
    <row r="96" ht="13" customHeight="1" s="113">
      <c r="A96" s="171" t="n"/>
      <c r="B96" s="66" t="n"/>
      <c r="C96" s="67" t="n">
        <v>14</v>
      </c>
      <c r="D96" s="50" t="inlineStr">
        <is>
          <t>自己紹介資料の準備はあったか？</t>
        </is>
      </c>
      <c r="E96" s="154" t="n"/>
      <c r="F96" s="155" t="n"/>
      <c r="G96" s="48" t="inlineStr">
        <is>
          <t>✕</t>
        </is>
      </c>
      <c r="H96" s="81">
        <f>IF(G96="〇", 1, IF(G96="△", 0.5, 0))</f>
        <v/>
      </c>
      <c r="I96" s="64" t="n"/>
      <c r="J96" s="65" t="inlineStr">
        <is>
          <t>自己紹介資料はあったほうが良い</t>
        </is>
      </c>
    </row>
    <row r="97" ht="13" customHeight="1" s="113">
      <c r="A97" s="171" t="n"/>
      <c r="B97" s="66" t="n"/>
      <c r="C97" s="67" t="n">
        <v>15</v>
      </c>
      <c r="D97" s="50" t="inlineStr">
        <is>
          <t>資料のデザインは洗練されているか？</t>
        </is>
      </c>
      <c r="E97" s="154" t="n"/>
      <c r="F97" s="155" t="n"/>
      <c r="G97" s="48" t="inlineStr">
        <is>
          <t>△</t>
        </is>
      </c>
      <c r="H97" s="81">
        <f>IF(G97="〇", 1, IF(G97="△", 0.5, 0))</f>
        <v/>
      </c>
      <c r="I97" s="64" t="n"/>
      <c r="J97" s="65" t="inlineStr">
        <is>
          <t>超シンプルで見やすいが普通</t>
        </is>
      </c>
    </row>
    <row r="98" ht="13" customHeight="1" s="113">
      <c r="A98" s="171" t="n"/>
      <c r="B98" s="66" t="n"/>
      <c r="C98" s="67" t="n">
        <v>16</v>
      </c>
      <c r="D98" s="50" t="inlineStr">
        <is>
          <t>パワーポイントのテンプレートや一般的なデザインフォーマットを使用したものではないか？</t>
        </is>
      </c>
      <c r="E98" s="154" t="n"/>
      <c r="F98" s="155" t="n"/>
      <c r="G98" s="48" t="inlineStr">
        <is>
          <t>〇</t>
        </is>
      </c>
      <c r="H98" s="81">
        <f>IF(G98="〇", 1, IF(G98="△", 0.5, 0))</f>
        <v/>
      </c>
      <c r="I98" s="64" t="n"/>
      <c r="J98" s="64" t="n"/>
    </row>
    <row r="99" ht="13" customHeight="1" s="113">
      <c r="A99" s="171" t="n"/>
      <c r="B99" s="66" t="inlineStr">
        <is>
          <t>資料</t>
        </is>
      </c>
      <c r="C99" s="67" t="n">
        <v>17</v>
      </c>
      <c r="D99" s="50" t="inlineStr">
        <is>
          <t>画面共有された状態で文字が読みやすいような大きさになっているか？</t>
        </is>
      </c>
      <c r="E99" s="154" t="n"/>
      <c r="F99" s="155" t="n"/>
      <c r="G99" s="48" t="inlineStr">
        <is>
          <t>〇</t>
        </is>
      </c>
      <c r="H99" s="81">
        <f>IF(G99="〇", 1, IF(G99="△", 0.5, 0))</f>
        <v/>
      </c>
      <c r="I99" s="64" t="n"/>
      <c r="J99" s="64" t="n"/>
    </row>
    <row r="100" ht="13" customHeight="1" s="113">
      <c r="A100" s="171" t="n"/>
      <c r="B100" s="66" t="n"/>
      <c r="C100" s="67" t="n">
        <v>18</v>
      </c>
      <c r="D100" s="50" t="inlineStr">
        <is>
          <t>会社ごとにあわせた提案資料を用意しているか？</t>
        </is>
      </c>
      <c r="E100" s="154" t="n"/>
      <c r="F100" s="155" t="n"/>
      <c r="G100" s="48" t="inlineStr">
        <is>
          <t>△</t>
        </is>
      </c>
      <c r="H100" s="81">
        <f>IF(G100="〇", 1, IF(G100="△", 0.5, 0))</f>
        <v/>
      </c>
      <c r="I100" s="64" t="n"/>
      <c r="J100" s="65" t="inlineStr">
        <is>
          <t>ニーズに合わせて候補人材を提案</t>
        </is>
      </c>
    </row>
    <row r="101" ht="13" customHeight="1" s="113">
      <c r="A101" s="171" t="n"/>
      <c r="B101" s="66" t="n"/>
      <c r="C101" s="67" t="n">
        <v>19</v>
      </c>
      <c r="D101" s="220" t="inlineStr">
        <is>
          <t>料金プランの内容は理解しやすく、誤認が発生しない内容か？</t>
        </is>
      </c>
      <c r="E101" s="154" t="n"/>
      <c r="F101" s="155" t="n"/>
      <c r="G101" s="48" t="inlineStr">
        <is>
          <t>〇</t>
        </is>
      </c>
      <c r="H101" s="81">
        <f>IF(G101="〇", 1, IF(G101="△", 0.5, 0))</f>
        <v/>
      </c>
      <c r="I101" s="64" t="n"/>
      <c r="J101" s="65" t="inlineStr">
        <is>
          <t>序盤に話しており分かりやすい</t>
        </is>
      </c>
    </row>
    <row r="102" ht="13" customHeight="1" s="113">
      <c r="A102" s="171" t="n"/>
      <c r="B102" s="66" t="n"/>
      <c r="C102" s="67" t="n">
        <v>20</v>
      </c>
      <c r="D102" s="220" t="inlineStr">
        <is>
          <t>サービス提供フローはスケジュール感も含めて明確に記載されているか？</t>
        </is>
      </c>
      <c r="E102" s="154" t="n"/>
      <c r="F102" s="155" t="n"/>
      <c r="G102" s="48" t="inlineStr">
        <is>
          <t>△</t>
        </is>
      </c>
      <c r="H102" s="81">
        <f>IF(G102="〇", 1, IF(G102="△", 0.5, 0))</f>
        <v/>
      </c>
      <c r="I102" s="64" t="n"/>
      <c r="J102" s="65" t="inlineStr">
        <is>
          <t>フローは理解、スケジュール不透明</t>
        </is>
      </c>
    </row>
    <row r="103" ht="13" customHeight="1" s="113">
      <c r="A103" s="171" t="n"/>
      <c r="B103" s="66" t="n"/>
      <c r="C103" s="67" t="n">
        <v>21</v>
      </c>
      <c r="D103" s="220" t="inlineStr">
        <is>
          <t>資料に事例が記載されているか？</t>
        </is>
      </c>
      <c r="E103" s="154" t="n"/>
      <c r="F103" s="155" t="n"/>
      <c r="G103" s="48" t="inlineStr">
        <is>
          <t>〇</t>
        </is>
      </c>
      <c r="H103" s="81">
        <f>IF(G103="〇", 1, IF(G103="△", 0.5, 0))</f>
        <v/>
      </c>
      <c r="I103" s="64" t="n"/>
      <c r="J103" s="65" t="inlineStr">
        <is>
          <t>事例の情報密度は弱い。</t>
        </is>
      </c>
    </row>
    <row r="104" ht="13" customHeight="1" s="113">
      <c r="A104" s="173" t="n"/>
      <c r="B104" s="66" t="n"/>
      <c r="C104" s="67" t="n">
        <v>22</v>
      </c>
      <c r="D104" s="220" t="inlineStr">
        <is>
          <t>具体的な数字をもとに費用対効果や価値が記載されているか？</t>
        </is>
      </c>
      <c r="E104" s="154" t="n"/>
      <c r="F104" s="155" t="n"/>
      <c r="G104" s="48" t="inlineStr">
        <is>
          <t>✕</t>
        </is>
      </c>
      <c r="H104" s="81">
        <f>IF(G104="〇", 1, IF(G104="△", 0.5, 0))</f>
        <v/>
      </c>
      <c r="I104" s="64" t="n"/>
      <c r="J104" s="65" t="inlineStr">
        <is>
          <t>費用対効果は営業側で設定することを推奨</t>
        </is>
      </c>
    </row>
    <row r="105" ht="13" customHeight="1" s="113">
      <c r="A105" s="225" t="inlineStr">
        <is>
          <t>営業人間力</t>
        </is>
      </c>
      <c r="B105" s="226" t="inlineStr">
        <is>
          <t>非言語</t>
        </is>
      </c>
      <c r="C105" s="67" t="n">
        <v>1</v>
      </c>
      <c r="D105" s="50" t="inlineStr">
        <is>
          <t>自然に笑顔をつくっているか？</t>
        </is>
      </c>
      <c r="E105" s="154" t="n"/>
      <c r="F105" s="155" t="n"/>
      <c r="G105" s="48" t="inlineStr">
        <is>
          <t>〇</t>
        </is>
      </c>
      <c r="H105" s="81">
        <f>IF(G105="〇", 1, IF(G105="△", 0.5, 0))</f>
        <v/>
      </c>
      <c r="I105" s="64" t="n"/>
      <c r="J105" s="65" t="inlineStr">
        <is>
          <t>笑顔が素敵で親近感がある。</t>
        </is>
      </c>
    </row>
    <row r="106" ht="13" customHeight="1" s="113">
      <c r="A106" s="227" t="n"/>
      <c r="B106" s="227" t="n"/>
      <c r="C106" s="67" t="n">
        <v>2</v>
      </c>
      <c r="D106" s="50" t="inlineStr">
        <is>
          <t>褒める言葉を気後れせずに伝えられているか？</t>
        </is>
      </c>
      <c r="E106" s="154" t="n"/>
      <c r="F106" s="155" t="n"/>
      <c r="G106" s="48" t="inlineStr">
        <is>
          <t>△</t>
        </is>
      </c>
      <c r="H106" s="81">
        <f>IF(G106="〇", 1, IF(G106="△", 0.5, 0))</f>
        <v/>
      </c>
      <c r="I106" s="64" t="n"/>
      <c r="J106" s="65" t="inlineStr">
        <is>
          <t>さすがです、とかの言葉は大事かと</t>
        </is>
      </c>
    </row>
    <row r="107" ht="13" customHeight="1" s="113">
      <c r="A107" s="227" t="n"/>
      <c r="B107" s="227" t="n"/>
      <c r="C107" s="67" t="n">
        <v>3</v>
      </c>
      <c r="D107" s="49" t="inlineStr">
        <is>
          <t>声の大きさは大きいか？</t>
        </is>
      </c>
      <c r="E107" s="154" t="n"/>
      <c r="F107" s="155" t="n"/>
      <c r="G107" s="48" t="inlineStr">
        <is>
          <t>〇</t>
        </is>
      </c>
      <c r="H107" s="81">
        <f>IF(G107="〇", 1, IF(G107="△", 0.5, 0))</f>
        <v/>
      </c>
      <c r="I107" s="64" t="n"/>
      <c r="J107" s="64" t="n"/>
    </row>
    <row r="108" ht="13" customHeight="1" s="113">
      <c r="A108" s="227" t="n"/>
      <c r="B108" s="227" t="n"/>
      <c r="C108" s="67" t="n">
        <v>4</v>
      </c>
      <c r="D108" s="50" t="inlineStr">
        <is>
          <t>話す速度は営業先に合わせているか？</t>
        </is>
      </c>
      <c r="E108" s="154" t="n"/>
      <c r="F108" s="155" t="n"/>
      <c r="G108" s="48" t="inlineStr">
        <is>
          <t>〇</t>
        </is>
      </c>
      <c r="H108" s="81">
        <f>IF(G108="〇", 1, IF(G108="△", 0.5, 0))</f>
        <v/>
      </c>
      <c r="I108" s="64" t="n"/>
      <c r="J108" s="64" t="n"/>
    </row>
    <row r="109" ht="13" customHeight="1" s="113">
      <c r="A109" s="227" t="n"/>
      <c r="B109" s="227" t="n"/>
      <c r="C109" s="67" t="n">
        <v>5</v>
      </c>
      <c r="D109" s="49" t="inlineStr">
        <is>
          <t>声の抑揚はあるか？</t>
        </is>
      </c>
      <c r="E109" s="154" t="n"/>
      <c r="F109" s="155" t="n"/>
      <c r="G109" s="48" t="inlineStr">
        <is>
          <t>〇</t>
        </is>
      </c>
      <c r="H109" s="81">
        <f>IF(G109="〇", 1, IF(G109="△", 0.5, 0))</f>
        <v/>
      </c>
      <c r="I109" s="64" t="n"/>
      <c r="J109" s="64" t="n"/>
    </row>
    <row r="110" ht="13" customHeight="1" s="113">
      <c r="A110" s="227" t="n"/>
      <c r="B110" s="227" t="n"/>
      <c r="C110" s="67" t="n">
        <v>6</v>
      </c>
      <c r="D110" s="49" t="inlineStr">
        <is>
          <t>身振り手振りを行っているか？</t>
        </is>
      </c>
      <c r="E110" s="154" t="n"/>
      <c r="F110" s="155" t="n"/>
      <c r="G110" s="48" t="inlineStr">
        <is>
          <t>✕</t>
        </is>
      </c>
      <c r="H110" s="81">
        <f>IF(G110="〇", 1, IF(G110="△", 0.5, 0))</f>
        <v/>
      </c>
      <c r="I110" s="64" t="n"/>
      <c r="J110" s="65" t="inlineStr">
        <is>
          <t>身振り手振りは重要、臨場感が出る</t>
        </is>
      </c>
    </row>
    <row r="111" ht="13" customHeight="1" s="113">
      <c r="A111" s="227" t="n"/>
      <c r="B111" s="227" t="n"/>
      <c r="C111" s="67" t="n">
        <v>7</v>
      </c>
      <c r="D111" s="49" t="inlineStr">
        <is>
          <t>相手が話していることに相づちを打ったり、頷きはあるか？(多少、大げさでもOK)</t>
        </is>
      </c>
      <c r="E111" s="154" t="n"/>
      <c r="F111" s="155" t="n"/>
      <c r="G111" s="48" t="inlineStr">
        <is>
          <t>〇</t>
        </is>
      </c>
      <c r="H111" s="81">
        <f>IF(G111="〇", 1, IF(G111="△", 0.5, 0))</f>
        <v/>
      </c>
      <c r="I111" s="64" t="n"/>
      <c r="J111" s="64" t="n"/>
    </row>
    <row r="112" ht="13" customHeight="1" s="113">
      <c r="A112" s="227" t="n"/>
      <c r="B112" s="227" t="n"/>
      <c r="C112" s="67" t="n">
        <v>8</v>
      </c>
      <c r="D112" s="49" t="inlineStr">
        <is>
          <t>伝えたいポイントをカーソルやペンでなぞっているか？</t>
        </is>
      </c>
      <c r="E112" s="154" t="n"/>
      <c r="F112" s="155" t="n"/>
      <c r="G112" s="48" t="inlineStr">
        <is>
          <t>△</t>
        </is>
      </c>
      <c r="H112" s="81">
        <f>IF(G112="〇", 1, IF(G112="△", 0.5, 0))</f>
        <v/>
      </c>
      <c r="I112" s="64" t="n"/>
      <c r="J112" s="65" t="inlineStr">
        <is>
          <t>なぞっているが、見にくい</t>
        </is>
      </c>
    </row>
    <row r="113" ht="13" customHeight="1" s="113">
      <c r="A113" s="227" t="n"/>
      <c r="B113" s="227" t="n"/>
      <c r="C113" s="67" t="n">
        <v>9</v>
      </c>
      <c r="D113" s="49" t="inlineStr">
        <is>
          <t>不快感を持たないか？(説明、対応、返答など)</t>
        </is>
      </c>
      <c r="E113" s="154" t="n"/>
      <c r="F113" s="155" t="n"/>
      <c r="G113" s="48" t="inlineStr">
        <is>
          <t>〇</t>
        </is>
      </c>
      <c r="H113" s="81">
        <f>IF(G113="〇", 1, IF(G113="△", 0.5, 0))</f>
        <v/>
      </c>
      <c r="I113" s="64" t="n"/>
      <c r="J113" s="65" t="inlineStr">
        <is>
          <t>全く不快感がなく、営業力は高い</t>
        </is>
      </c>
    </row>
    <row r="114" ht="13" customHeight="1" s="113">
      <c r="A114" s="227" t="n"/>
      <c r="B114" s="227" t="n"/>
      <c r="C114" s="67" t="n">
        <v>10</v>
      </c>
      <c r="D114" s="49" t="inlineStr">
        <is>
          <t>言動や対応に違和感・不審感は無いか？</t>
        </is>
      </c>
      <c r="E114" s="154" t="n"/>
      <c r="F114" s="155" t="n"/>
      <c r="G114" s="48" t="inlineStr">
        <is>
          <t>〇</t>
        </is>
      </c>
      <c r="H114" s="81">
        <f>IF(G114="〇", 1, IF(G114="△", 0.5, 0))</f>
        <v/>
      </c>
      <c r="I114" s="64" t="n"/>
      <c r="J114" s="65" t="inlineStr">
        <is>
          <t>不信感もいだくことはなく、素晴らしい。</t>
        </is>
      </c>
    </row>
    <row r="115" ht="13" customHeight="1" s="113">
      <c r="A115" s="227" t="n"/>
      <c r="B115" s="227" t="n"/>
      <c r="C115" s="67" t="n">
        <v>11</v>
      </c>
      <c r="D115" s="50" t="inlineStr">
        <is>
          <t>ペンで書いた文字はきれいか？</t>
        </is>
      </c>
      <c r="E115" s="154" t="n"/>
      <c r="F115" s="155" t="n"/>
      <c r="G115" s="48" t="inlineStr">
        <is>
          <t>✕</t>
        </is>
      </c>
      <c r="H115" s="81">
        <f>IF(G115="〇", 1, IF(G115="△", 0.5, 0))</f>
        <v/>
      </c>
      <c r="I115" s="64" t="n"/>
      <c r="J115" s="65" t="inlineStr">
        <is>
          <t>文字は書いていない。</t>
        </is>
      </c>
    </row>
    <row r="116" ht="13" customHeight="1" s="113">
      <c r="A116" s="227" t="n"/>
      <c r="B116" s="228" t="n"/>
      <c r="C116" s="67" t="n">
        <v>12</v>
      </c>
      <c r="D116" s="50" t="inlineStr">
        <is>
          <t>画面にたいして、正面を向いているか？</t>
        </is>
      </c>
      <c r="E116" s="154" t="n"/>
      <c r="F116" s="155" t="n"/>
      <c r="G116" s="48" t="inlineStr">
        <is>
          <t>〇</t>
        </is>
      </c>
      <c r="H116" s="81">
        <f>IF(G116="〇", 1, IF(G116="△", 0.5, 0))</f>
        <v/>
      </c>
      <c r="I116" s="64" t="n"/>
      <c r="J116" s="65" t="inlineStr">
        <is>
          <t>正面を向いており、画角◎</t>
        </is>
      </c>
    </row>
    <row r="117" ht="13" customHeight="1" s="113">
      <c r="A117" s="227" t="n"/>
      <c r="B117" s="229" t="inlineStr">
        <is>
          <t>相手への理解度</t>
        </is>
      </c>
      <c r="C117" s="67" t="n">
        <v>13</v>
      </c>
      <c r="D117" s="220" t="inlineStr">
        <is>
          <t>相手の業界の知識を持ち合わせているか？この人はわかっている！と思えるか？</t>
        </is>
      </c>
      <c r="E117" s="154" t="n"/>
      <c r="F117" s="155" t="n"/>
      <c r="G117" s="48" t="inlineStr">
        <is>
          <t>〇</t>
        </is>
      </c>
      <c r="H117" s="81">
        <f>IF(G117="〇", 1, IF(G117="△", 0.5, 0))</f>
        <v/>
      </c>
      <c r="I117" s="64" t="n"/>
      <c r="J117" s="65" t="inlineStr">
        <is>
          <t>仮説をもって先回り人材提案できている。</t>
        </is>
      </c>
    </row>
    <row r="118" ht="13" customHeight="1" s="113">
      <c r="A118" s="227" t="n"/>
      <c r="B118" s="227" t="n"/>
      <c r="C118" s="67" t="n">
        <v>14</v>
      </c>
      <c r="D118" s="220" t="inlineStr">
        <is>
          <t>相手の商材について、イメージを持っているか？近しい業界の事例などを伝えられているか？</t>
        </is>
      </c>
      <c r="E118" s="154" t="n"/>
      <c r="F118" s="155" t="n"/>
      <c r="G118" s="48" t="inlineStr">
        <is>
          <t>〇</t>
        </is>
      </c>
      <c r="H118" s="81">
        <f>IF(G118="〇", 1, IF(G118="△", 0.5, 0))</f>
        <v/>
      </c>
      <c r="I118" s="64" t="n"/>
      <c r="J118" s="64" t="n"/>
    </row>
    <row r="119" ht="13" customHeight="1" s="113">
      <c r="A119" s="227" t="n"/>
      <c r="B119" s="228" t="n"/>
      <c r="C119" s="67" t="n">
        <v>15</v>
      </c>
      <c r="D119" s="220" t="inlineStr">
        <is>
          <t>ビジネスモデルの理解ができているか？キャッシュポイントなどを認識して、仮説を伝えているか？</t>
        </is>
      </c>
      <c r="E119" s="154" t="n"/>
      <c r="F119" s="155" t="n"/>
      <c r="G119" s="48" t="inlineStr">
        <is>
          <t>〇</t>
        </is>
      </c>
      <c r="H119" s="81">
        <f>IF(G119="〇", 1, IF(G119="△", 0.5, 0))</f>
        <v/>
      </c>
      <c r="I119" s="64" t="n"/>
      <c r="J119" s="64" t="n"/>
    </row>
    <row r="120" ht="13" customHeight="1" s="113">
      <c r="A120" s="227" t="n"/>
      <c r="B120" s="229" t="inlineStr">
        <is>
          <t>表情</t>
        </is>
      </c>
      <c r="C120" s="67" t="n">
        <v>16</v>
      </c>
      <c r="D120" s="50" t="inlineStr">
        <is>
          <t>沈黙に不安な顔をしていないか</t>
        </is>
      </c>
      <c r="E120" s="154" t="n"/>
      <c r="F120" s="155" t="n"/>
      <c r="G120" s="48" t="inlineStr">
        <is>
          <t>〇</t>
        </is>
      </c>
      <c r="H120" s="81">
        <f>IF(G120="〇", 1, IF(G120="△", 0.5, 0))</f>
        <v/>
      </c>
      <c r="I120" s="64" t="n"/>
      <c r="J120" s="64" t="n"/>
    </row>
    <row r="121" ht="13" customHeight="1" s="113">
      <c r="A121" s="227" t="n"/>
      <c r="B121" s="227" t="n"/>
      <c r="C121" s="67" t="n">
        <v>17</v>
      </c>
      <c r="D121" s="50" t="inlineStr">
        <is>
          <t>相手におびえていないか？</t>
        </is>
      </c>
      <c r="E121" s="154" t="n"/>
      <c r="F121" s="155" t="n"/>
      <c r="G121" s="48" t="inlineStr">
        <is>
          <t>〇</t>
        </is>
      </c>
      <c r="H121" s="81">
        <f>IF(G121="〇", 1, IF(G121="△", 0.5, 0))</f>
        <v/>
      </c>
      <c r="I121" s="64" t="n"/>
      <c r="J121" s="64" t="n"/>
    </row>
    <row r="122" ht="13" customHeight="1" s="113">
      <c r="A122" s="227" t="n"/>
      <c r="B122" s="228" t="n"/>
      <c r="C122" s="67" t="n">
        <v>18</v>
      </c>
      <c r="D122" s="220" t="inlineStr">
        <is>
          <t>自社からの質問にイライラしていないか？不快感を顔に出していないか？</t>
        </is>
      </c>
      <c r="E122" s="154" t="n"/>
      <c r="F122" s="155" t="n"/>
      <c r="G122" s="48" t="inlineStr">
        <is>
          <t>〇</t>
        </is>
      </c>
      <c r="H122" s="81">
        <f>IF(G122="〇", 1, IF(G122="△", 0.5, 0))</f>
        <v/>
      </c>
      <c r="I122" s="64" t="n"/>
      <c r="J122" s="65" t="inlineStr">
        <is>
          <t>ガンガン聞いても不快感を顔に出さず素晴らしい</t>
        </is>
      </c>
    </row>
    <row r="123" ht="13" customHeight="1" s="113">
      <c r="A123" s="227" t="n"/>
      <c r="B123" s="229" t="inlineStr">
        <is>
          <t>言動</t>
        </is>
      </c>
      <c r="C123" s="67" t="n">
        <v>19</v>
      </c>
      <c r="D123" s="50" t="inlineStr">
        <is>
          <t>○○社長/代表/様と呼んでいるか</t>
        </is>
      </c>
      <c r="E123" s="154" t="n"/>
      <c r="F123" s="155" t="n"/>
      <c r="G123" s="48" t="inlineStr">
        <is>
          <t>〇</t>
        </is>
      </c>
      <c r="H123" s="81">
        <f>IF(G123="〇", 1, IF(G123="△", 0.5, 0))</f>
        <v/>
      </c>
      <c r="I123" s="64" t="n"/>
      <c r="J123" s="64" t="n"/>
    </row>
    <row r="124" ht="13" customHeight="1" s="113">
      <c r="A124" s="227" t="n"/>
      <c r="B124" s="227" t="n"/>
      <c r="C124" s="67" t="n">
        <v>20</v>
      </c>
      <c r="D124" s="50" t="inlineStr">
        <is>
          <t>貢献できます。など断言ができているか？※嘘はNG</t>
        </is>
      </c>
      <c r="E124" s="154" t="n"/>
      <c r="F124" s="155" t="n"/>
      <c r="G124" s="48" t="inlineStr">
        <is>
          <t>△</t>
        </is>
      </c>
      <c r="H124" s="81">
        <f>IF(G124="〇", 1, IF(G124="△", 0.5, 0))</f>
        <v/>
      </c>
      <c r="I124" s="64" t="n"/>
      <c r="J124" s="64" t="n"/>
    </row>
    <row r="125" ht="13" customHeight="1" s="113">
      <c r="A125" s="227" t="n"/>
      <c r="B125" s="228" t="n"/>
      <c r="C125" s="67" t="n">
        <v>21</v>
      </c>
      <c r="D125" s="50" t="inlineStr">
        <is>
          <t>沈黙のアテンションがあるか？</t>
        </is>
      </c>
      <c r="E125" s="154" t="n"/>
      <c r="F125" s="155" t="n"/>
      <c r="G125" s="48" t="inlineStr">
        <is>
          <t>〇</t>
        </is>
      </c>
      <c r="H125" s="81">
        <f>IF(G125="〇", 1, IF(G125="△", 0.5, 0))</f>
        <v/>
      </c>
      <c r="I125" s="64" t="n"/>
      <c r="J125" s="64" t="n"/>
    </row>
    <row r="126" ht="13" customHeight="1" s="113">
      <c r="A126" s="227" t="n"/>
      <c r="B126" s="229" t="inlineStr">
        <is>
          <t>気遣い</t>
        </is>
      </c>
      <c r="C126" s="67" t="n">
        <v>22</v>
      </c>
      <c r="D126" s="50" t="inlineStr">
        <is>
          <t>咳をするときや、相手の話をしっかり聞きたいときにマイクオフにするといった気配りがあるか？</t>
        </is>
      </c>
      <c r="E126" s="154" t="n"/>
      <c r="F126" s="155" t="n"/>
      <c r="G126" s="48" t="inlineStr">
        <is>
          <t>〇</t>
        </is>
      </c>
      <c r="H126" s="81">
        <f>IF(G126="〇", 1, IF(G126="△", 0.5, 0))</f>
        <v/>
      </c>
      <c r="I126" s="64" t="n"/>
      <c r="J126" s="64" t="n"/>
    </row>
    <row r="127" ht="13" customHeight="1" s="113">
      <c r="A127" s="227" t="n"/>
      <c r="B127" s="227" t="n"/>
      <c r="C127" s="67" t="n">
        <v>23</v>
      </c>
      <c r="D127" s="50" t="inlineStr">
        <is>
          <t>リレーションは築けているか？(最後に雑談等)</t>
        </is>
      </c>
      <c r="E127" s="154" t="n"/>
      <c r="F127" s="155" t="n"/>
      <c r="G127" s="48" t="inlineStr">
        <is>
          <t>〇</t>
        </is>
      </c>
      <c r="H127" s="81">
        <f>IF(G127="〇", 1, IF(G127="△", 0.5, 0))</f>
        <v/>
      </c>
      <c r="I127" s="64" t="n"/>
      <c r="J127" s="64" t="n"/>
    </row>
    <row r="128" ht="13" customHeight="1" s="113">
      <c r="A128" s="227" t="n"/>
      <c r="B128" s="227" t="n"/>
      <c r="C128" s="67" t="n">
        <v>24</v>
      </c>
      <c r="D128" s="49" t="inlineStr">
        <is>
          <t>最後に大きな声で御礼が言えているか？</t>
        </is>
      </c>
      <c r="E128" s="154" t="n"/>
      <c r="F128" s="155" t="n"/>
      <c r="G128" s="48" t="inlineStr">
        <is>
          <t>〇</t>
        </is>
      </c>
      <c r="H128" s="81">
        <f>IF(G128="〇", 1, IF(G128="△", 0.5, 0))</f>
        <v/>
      </c>
      <c r="I128" s="64" t="n"/>
      <c r="J128" s="64" t="n"/>
    </row>
    <row r="129" ht="13" customHeight="1" s="113">
      <c r="A129" s="228" t="n"/>
      <c r="B129" s="228" t="n"/>
      <c r="C129" s="67" t="n">
        <v>25</v>
      </c>
      <c r="D129" s="49" t="inlineStr">
        <is>
          <t>向こうが画面を切るまで待っているか？</t>
        </is>
      </c>
      <c r="E129" s="154" t="n"/>
      <c r="F129" s="155" t="n"/>
      <c r="G129" s="48" t="inlineStr">
        <is>
          <t>△</t>
        </is>
      </c>
      <c r="H129" s="81">
        <f>IF(G129="〇", 1, IF(G129="△", 0.5, 0))</f>
        <v/>
      </c>
      <c r="I129" s="64" t="n"/>
      <c r="J129" s="65" t="inlineStr">
        <is>
          <t>今回はロープレなので抜けたのかも</t>
        </is>
      </c>
    </row>
    <row r="130" ht="13" customHeight="1" s="113">
      <c r="A130" s="86" t="inlineStr">
        <is>
          <t xml:space="preserve">商談対応力
</t>
        </is>
      </c>
      <c r="B130" s="230" t="inlineStr">
        <is>
          <t>冒頭</t>
        </is>
      </c>
      <c r="C130" s="54" t="n">
        <v>1</v>
      </c>
      <c r="D130" s="50" t="inlineStr">
        <is>
          <t>冒頭大きな声でさわやかに挨拶できているか？</t>
        </is>
      </c>
      <c r="E130" s="154" t="n"/>
      <c r="F130" s="155" t="n"/>
      <c r="G130" s="48" t="inlineStr">
        <is>
          <t>〇</t>
        </is>
      </c>
      <c r="H130" s="49">
        <f>IF(G130="〇", 1, IF(G130="△", 0.5, 0))</f>
        <v/>
      </c>
      <c r="I130" s="49" t="n"/>
      <c r="J130" s="50" t="n"/>
    </row>
    <row r="131" ht="13" customHeight="1" s="113">
      <c r="A131" s="171" t="n"/>
      <c r="B131" s="221" t="n"/>
      <c r="C131" s="54" t="n">
        <v>2</v>
      </c>
      <c r="D131" s="50" t="inlineStr">
        <is>
          <t>音声の聞こえ方やカメラ画面の見え方に違和感などがないか確認しているか？</t>
        </is>
      </c>
      <c r="E131" s="154" t="n"/>
      <c r="F131" s="155" t="n"/>
      <c r="G131" s="48" t="inlineStr">
        <is>
          <t>〇</t>
        </is>
      </c>
      <c r="H131" s="49">
        <f>IF(G131="〇", 1, IF(G131="△", 0.5, 0))</f>
        <v/>
      </c>
      <c r="I131" s="49" t="n"/>
      <c r="J131" s="50" t="inlineStr">
        <is>
          <t>今回はロープレなので抜けたのかも</t>
        </is>
      </c>
    </row>
    <row r="132" ht="13" customHeight="1" s="113">
      <c r="A132" s="171" t="n"/>
      <c r="B132" s="221" t="n"/>
      <c r="C132" s="54" t="n">
        <v>3</v>
      </c>
      <c r="D132" s="50" t="inlineStr">
        <is>
          <t>いきなり質問から始めるのではなく商談の方向性や流れを明確にしてからスタートしているか？</t>
        </is>
      </c>
      <c r="E132" s="154" t="n"/>
      <c r="F132" s="155" t="n"/>
      <c r="G132" s="48" t="inlineStr">
        <is>
          <t>〇</t>
        </is>
      </c>
      <c r="H132" s="49">
        <f>IF(G132="〇", 1, IF(G132="△", 0.5, 0))</f>
        <v/>
      </c>
      <c r="I132" s="49" t="n"/>
      <c r="J132" s="50" t="inlineStr">
        <is>
          <t>今回はロープレなので抜けたのかも</t>
        </is>
      </c>
    </row>
    <row r="133" ht="13" customHeight="1" s="113">
      <c r="A133" s="171" t="n"/>
      <c r="B133" s="221" t="n"/>
      <c r="C133" s="54" t="n">
        <v>4</v>
      </c>
      <c r="D133" s="50" t="inlineStr">
        <is>
          <t>商談担当者の自己紹介は行っているか？</t>
        </is>
      </c>
      <c r="E133" s="154" t="n"/>
      <c r="F133" s="155" t="n"/>
      <c r="G133" s="48" t="inlineStr">
        <is>
          <t>✕</t>
        </is>
      </c>
      <c r="H133" s="49">
        <f>IF(G133="〇", 1, IF(G133="△", 0.5, 0))</f>
        <v/>
      </c>
      <c r="I133" s="49" t="n"/>
      <c r="J133" s="50" t="inlineStr">
        <is>
          <t>自己紹介資料は欲しい。</t>
        </is>
      </c>
    </row>
    <row r="134" ht="13" customHeight="1" s="113">
      <c r="A134" s="171" t="n"/>
      <c r="B134" s="222" t="n"/>
      <c r="C134" s="54" t="n">
        <v>5</v>
      </c>
      <c r="D134" s="50" t="inlineStr">
        <is>
          <t>打ち合わせのタイムスケジュール感を冒頭ですり合わせているか？</t>
        </is>
      </c>
      <c r="E134" s="154" t="n"/>
      <c r="F134" s="155" t="n"/>
      <c r="G134" s="48" t="inlineStr">
        <is>
          <t>△</t>
        </is>
      </c>
      <c r="H134" s="49">
        <f>IF(G134="〇", 1, IF(G134="△", 0.5, 0))</f>
        <v/>
      </c>
      <c r="I134" s="49" t="n"/>
      <c r="J134" s="50" t="inlineStr">
        <is>
          <t>何分で話すのかなどほしい。</t>
        </is>
      </c>
    </row>
    <row r="135" ht="13" customHeight="1" s="113">
      <c r="A135" s="171" t="n"/>
      <c r="B135" s="230" t="inlineStr">
        <is>
          <t>質問</t>
        </is>
      </c>
      <c r="C135" s="54" t="n">
        <v>6</v>
      </c>
      <c r="D135" s="50" t="inlineStr">
        <is>
          <t>商談をされる側が不快感を示すような一方的な質問責めをしていないか？</t>
        </is>
      </c>
      <c r="E135" s="154" t="n"/>
      <c r="F135" s="155" t="n"/>
      <c r="G135" s="48" t="inlineStr">
        <is>
          <t>〇</t>
        </is>
      </c>
      <c r="H135" s="49">
        <f>IF(G135="〇", 1, IF(G135="△", 0.5, 0))</f>
        <v/>
      </c>
      <c r="I135" s="49" t="n"/>
      <c r="J135" s="50" t="n"/>
    </row>
    <row r="136" ht="13" customHeight="1" s="113">
      <c r="A136" s="171" t="n"/>
      <c r="B136" s="221" t="n"/>
      <c r="C136" s="54" t="n">
        <v>7</v>
      </c>
      <c r="D136" s="50" t="inlineStr">
        <is>
          <t>HPや事前情報を調べれば把握できるような質問をしていないか？</t>
        </is>
      </c>
      <c r="E136" s="154" t="n"/>
      <c r="F136" s="155" t="n"/>
      <c r="G136" s="48" t="inlineStr">
        <is>
          <t>〇</t>
        </is>
      </c>
      <c r="H136" s="49">
        <f>IF(G136="〇", 1, IF(G136="△", 0.5, 0))</f>
        <v/>
      </c>
      <c r="I136" s="49" t="n"/>
      <c r="J136" s="50" t="n"/>
    </row>
    <row r="137" ht="13" customHeight="1" s="113">
      <c r="A137" s="171" t="n"/>
      <c r="B137" s="221" t="n"/>
      <c r="C137" s="54" t="n">
        <v>8</v>
      </c>
      <c r="D137" s="50" t="inlineStr">
        <is>
          <t>質問に回答した後の相槌や反応はしているか？</t>
        </is>
      </c>
      <c r="E137" s="154" t="n"/>
      <c r="F137" s="155" t="n"/>
      <c r="G137" s="48" t="inlineStr">
        <is>
          <t>〇</t>
        </is>
      </c>
      <c r="H137" s="49">
        <f>IF(G137="〇", 1, IF(G137="△", 0.5, 0))</f>
        <v/>
      </c>
      <c r="I137" s="49" t="n"/>
      <c r="J137" s="50" t="n"/>
    </row>
    <row r="138" ht="13" customHeight="1" s="113">
      <c r="A138" s="171" t="n"/>
      <c r="B138" s="221" t="n"/>
      <c r="C138" s="54" t="n">
        <v>9</v>
      </c>
      <c r="D138" s="50" t="inlineStr">
        <is>
          <t>質問に回答した後のメモに時間を要して沈黙の時間を生んでいないか？</t>
        </is>
      </c>
      <c r="E138" s="154" t="n"/>
      <c r="F138" s="155" t="n"/>
      <c r="G138" s="48" t="inlineStr">
        <is>
          <t>〇</t>
        </is>
      </c>
      <c r="H138" s="49">
        <f>IF(G138="〇", 1, IF(G138="△", 0.5, 0))</f>
        <v/>
      </c>
      <c r="I138" s="49" t="n"/>
      <c r="J138" s="50" t="n"/>
    </row>
    <row r="139" ht="13" customHeight="1" s="113">
      <c r="A139" s="171" t="n"/>
      <c r="B139" s="222" t="n"/>
      <c r="C139" s="54" t="n">
        <v>10</v>
      </c>
      <c r="D139" s="50" t="inlineStr">
        <is>
          <t>質問回答後に「ありがとうございます」と御礼を伝えているか？</t>
        </is>
      </c>
      <c r="E139" s="154" t="n"/>
      <c r="F139" s="155" t="n"/>
      <c r="G139" s="48" t="inlineStr">
        <is>
          <t>〇</t>
        </is>
      </c>
      <c r="H139" s="49">
        <f>IF(G139="〇", 1, IF(G139="△", 0.5, 0))</f>
        <v/>
      </c>
      <c r="I139" s="49" t="n"/>
      <c r="J139" s="50" t="n"/>
    </row>
    <row r="140" ht="13" customHeight="1" s="113">
      <c r="A140" s="171" t="n"/>
      <c r="B140" s="230" t="inlineStr">
        <is>
          <t>サービス説明</t>
        </is>
      </c>
      <c r="C140" s="54" t="n">
        <v>11</v>
      </c>
      <c r="D140" s="50" t="inlineStr">
        <is>
          <t>自社の会社概要について話しているか？</t>
        </is>
      </c>
      <c r="E140" s="154" t="n"/>
      <c r="F140" s="155" t="n"/>
      <c r="G140" s="48" t="inlineStr">
        <is>
          <t>〇</t>
        </is>
      </c>
      <c r="H140" s="49">
        <f>IF(G140="〇", 1, IF(G140="△", 0.5, 0))</f>
        <v/>
      </c>
      <c r="I140" s="49" t="n"/>
      <c r="J140" s="50" t="n"/>
    </row>
    <row r="141" ht="13" customHeight="1" s="113">
      <c r="A141" s="171" t="n"/>
      <c r="B141" s="221" t="n"/>
      <c r="C141" s="54" t="n">
        <v>12</v>
      </c>
      <c r="D141" s="50" t="inlineStr">
        <is>
          <t>提供するサービスのビジネスモデルを分かりやすく簡潔に話しているか？</t>
        </is>
      </c>
      <c r="E141" s="154" t="n"/>
      <c r="F141" s="155" t="n"/>
      <c r="G141" s="48" t="inlineStr">
        <is>
          <t>〇</t>
        </is>
      </c>
      <c r="H141" s="49">
        <f>IF(G141="〇", 1, IF(G141="△", 0.5, 0))</f>
        <v/>
      </c>
      <c r="I141" s="49" t="n"/>
      <c r="J141" s="50" t="n"/>
    </row>
    <row r="142" ht="13" customHeight="1" s="113">
      <c r="A142" s="171" t="n"/>
      <c r="B142" s="221" t="n"/>
      <c r="C142" s="54" t="n">
        <v>13</v>
      </c>
      <c r="D142" s="50" t="inlineStr">
        <is>
          <t>ビジネスモデルは企業HP記載の内容と一致しているか？(虚偽、誇大記載はしていないか？)</t>
        </is>
      </c>
      <c r="E142" s="154" t="n"/>
      <c r="F142" s="155" t="n"/>
      <c r="G142" s="48" t="inlineStr">
        <is>
          <t>〇</t>
        </is>
      </c>
      <c r="H142" s="49">
        <f>IF(G142="〇", 1, IF(G142="△", 0.5, 0))</f>
        <v/>
      </c>
      <c r="I142" s="49" t="n"/>
      <c r="J142" s="50" t="n"/>
    </row>
    <row r="143" ht="13" customHeight="1" s="113">
      <c r="A143" s="171" t="n"/>
      <c r="B143" s="221" t="n"/>
      <c r="C143" s="54" t="n">
        <v>14</v>
      </c>
      <c r="D143" s="50" t="inlineStr">
        <is>
          <t>他社との違いや優位性について触れているか？</t>
        </is>
      </c>
      <c r="E143" s="154" t="n"/>
      <c r="F143" s="155" t="n"/>
      <c r="G143" s="48" t="inlineStr">
        <is>
          <t>〇</t>
        </is>
      </c>
      <c r="H143" s="49">
        <f>IF(G143="〇", 1, IF(G143="△", 0.5, 0))</f>
        <v/>
      </c>
      <c r="I143" s="49" t="n"/>
      <c r="J143" s="50" t="n"/>
    </row>
    <row r="144" ht="13" customHeight="1" s="113">
      <c r="A144" s="171" t="n"/>
      <c r="B144" s="221" t="n"/>
      <c r="C144" s="54" t="n">
        <v>15</v>
      </c>
      <c r="D144" s="50" t="inlineStr">
        <is>
          <t>事例共有は営業を受ける側に近い事例を準備し、説明しているか？</t>
        </is>
      </c>
      <c r="E144" s="154" t="n"/>
      <c r="F144" s="155" t="n"/>
      <c r="G144" s="48" t="inlineStr">
        <is>
          <t>〇</t>
        </is>
      </c>
      <c r="H144" s="49">
        <f>IF(G144="〇", 1, IF(G144="△", 0.5, 0))</f>
        <v/>
      </c>
      <c r="I144" s="49" t="n"/>
      <c r="J144" s="50" t="n"/>
    </row>
    <row r="145" ht="13" customHeight="1" s="113">
      <c r="A145" s="171" t="n"/>
      <c r="B145" s="221" t="n"/>
      <c r="C145" s="54" t="n">
        <v>16</v>
      </c>
      <c r="D145" s="50" t="inlineStr">
        <is>
          <t>具体的な数値効果について仮説を交えながらわかりやすく説明しているか？</t>
        </is>
      </c>
      <c r="E145" s="154" t="n"/>
      <c r="F145" s="155" t="n"/>
      <c r="G145" s="48" t="inlineStr">
        <is>
          <t>△</t>
        </is>
      </c>
      <c r="H145" s="49">
        <f>IF(G145="〇", 1, IF(G145="△", 0.5, 0))</f>
        <v/>
      </c>
      <c r="I145" s="49" t="n"/>
      <c r="J145" s="50" t="n"/>
    </row>
    <row r="146" ht="13" customHeight="1" s="113">
      <c r="A146" s="171" t="n"/>
      <c r="B146" s="221" t="n"/>
      <c r="C146" s="54" t="n">
        <v>17</v>
      </c>
      <c r="D146" s="50" t="inlineStr">
        <is>
          <t>一方的なサービス説明に終始するのではなく、中間で質疑応答の時間を設けているか？</t>
        </is>
      </c>
      <c r="E146" s="154" t="n"/>
      <c r="F146" s="155" t="n"/>
      <c r="G146" s="48" t="inlineStr">
        <is>
          <t>〇</t>
        </is>
      </c>
      <c r="H146" s="49">
        <f>IF(G146="〇", 1, IF(G146="△", 0.5, 0))</f>
        <v/>
      </c>
      <c r="I146" s="49" t="n"/>
      <c r="J146" s="50" t="n"/>
    </row>
    <row r="147" ht="13" customHeight="1" s="113">
      <c r="A147" s="171" t="n"/>
      <c r="B147" s="221" t="n"/>
      <c r="C147" s="54" t="n">
        <v>18</v>
      </c>
      <c r="D147" s="50" t="inlineStr">
        <is>
          <t>サービスフローはスケジュール感を交えて説明できているか？</t>
        </is>
      </c>
      <c r="E147" s="154" t="n"/>
      <c r="F147" s="155" t="n"/>
      <c r="G147" s="48" t="inlineStr">
        <is>
          <t>△</t>
        </is>
      </c>
      <c r="H147" s="49">
        <f>IF(G147="〇", 1, IF(G147="△", 0.5, 0))</f>
        <v/>
      </c>
      <c r="I147" s="49" t="n"/>
      <c r="J147" s="50" t="n"/>
    </row>
    <row r="148" ht="13" customHeight="1" s="113">
      <c r="A148" s="171" t="n"/>
      <c r="B148" s="221" t="n"/>
      <c r="C148" s="54" t="n">
        <v>19</v>
      </c>
      <c r="D148" s="50" t="inlineStr">
        <is>
          <t>料金プランは一部を切り出して説明するのではなく、全体でかかる費用を網羅的に説明できているか？</t>
        </is>
      </c>
      <c r="E148" s="154" t="n"/>
      <c r="F148" s="155" t="n"/>
      <c r="G148" s="48" t="inlineStr">
        <is>
          <t>〇</t>
        </is>
      </c>
      <c r="H148" s="49">
        <f>IF(G148="〇", 1, IF(G148="△", 0.5, 0))</f>
        <v/>
      </c>
      <c r="I148" s="49" t="n"/>
      <c r="J148" s="50" t="n"/>
    </row>
    <row r="149" ht="13" customHeight="1" s="113">
      <c r="A149" s="171" t="n"/>
      <c r="B149" s="221" t="n"/>
      <c r="C149" s="54" t="n">
        <v>20</v>
      </c>
      <c r="D149" s="50" t="inlineStr">
        <is>
          <t>リスクやデメリットについても説明しているか？</t>
        </is>
      </c>
      <c r="E149" s="154" t="n"/>
      <c r="F149" s="155" t="n"/>
      <c r="G149" s="48" t="inlineStr">
        <is>
          <t>〇</t>
        </is>
      </c>
      <c r="H149" s="49">
        <f>IF(G149="〇", 1, IF(G149="△", 0.5, 0))</f>
        <v/>
      </c>
      <c r="I149" s="49" t="n"/>
      <c r="J149" s="50" t="n"/>
    </row>
    <row r="150" ht="13" customHeight="1" s="113">
      <c r="A150" s="171" t="n"/>
      <c r="B150" s="221" t="n"/>
      <c r="C150" s="54" t="n">
        <v>21</v>
      </c>
      <c r="D150" s="50" t="inlineStr">
        <is>
          <t>営業を受けている側のニーズに合わせた提案を行っているか？</t>
        </is>
      </c>
      <c r="E150" s="154" t="n"/>
      <c r="F150" s="155" t="n"/>
      <c r="G150" s="48" t="inlineStr">
        <is>
          <t>〇</t>
        </is>
      </c>
      <c r="H150" s="49">
        <f>IF(G150="〇", 1, IF(G150="△", 0.5, 0))</f>
        <v/>
      </c>
      <c r="I150" s="49" t="n"/>
      <c r="J150" s="50" t="n"/>
    </row>
    <row r="151" ht="13" customHeight="1" s="113">
      <c r="A151" s="171" t="n"/>
      <c r="B151" s="221" t="n"/>
      <c r="C151" s="54" t="n">
        <v>22</v>
      </c>
      <c r="D151" s="50" t="inlineStr">
        <is>
          <t>質問に対して結論ファーストで簡潔に回答できているか？</t>
        </is>
      </c>
      <c r="E151" s="154" t="n"/>
      <c r="F151" s="155" t="n"/>
      <c r="G151" s="48" t="inlineStr">
        <is>
          <t>〇</t>
        </is>
      </c>
      <c r="H151" s="49">
        <f>IF(G151="〇", 1, IF(G151="△", 0.5, 0))</f>
        <v/>
      </c>
      <c r="I151" s="49" t="n"/>
      <c r="J151" s="50" t="n"/>
    </row>
    <row r="152" ht="13" customHeight="1" s="113">
      <c r="A152" s="171" t="n"/>
      <c r="B152" s="222" t="n"/>
      <c r="C152" s="54" t="n">
        <v>23</v>
      </c>
      <c r="D152" s="50" t="inlineStr">
        <is>
          <t>自社・他社情報を共有する際には情報セキュリティに十分に配慮できているか？</t>
        </is>
      </c>
      <c r="E152" s="154" t="n"/>
      <c r="F152" s="155" t="n"/>
      <c r="G152" s="48" t="inlineStr">
        <is>
          <t>△</t>
        </is>
      </c>
      <c r="H152" s="49">
        <f>IF(G152="〇", 1, IF(G152="△", 0.5, 0))</f>
        <v/>
      </c>
      <c r="I152" s="50" t="inlineStr">
        <is>
          <t>管理画面などを見せていたらＮＧ</t>
        </is>
      </c>
      <c r="J152" s="50" t="inlineStr">
        <is>
          <t>名前は言わないほうが良い。
この点、がばがばな会社が多い。</t>
        </is>
      </c>
    </row>
    <row r="153" ht="13" customHeight="1" s="113">
      <c r="A153" s="171" t="n"/>
      <c r="B153" s="230" t="inlineStr">
        <is>
          <t>クロージング</t>
        </is>
      </c>
      <c r="C153" s="54" t="n">
        <v>24</v>
      </c>
      <c r="D153" s="50" t="inlineStr">
        <is>
          <t>BANT情報を聞けているか？</t>
        </is>
      </c>
      <c r="E153" s="154" t="n"/>
      <c r="F153" s="155" t="n"/>
      <c r="G153" s="48" t="n"/>
      <c r="H153" s="49">
        <f>IF(G153="〇", 1, IF(G153="△", 0.5, 0))</f>
        <v/>
      </c>
      <c r="I153" s="68" t="inlineStr">
        <is>
          <t xml:space="preserve">https://www.wawaoffice.jp/wawawork/bant/  </t>
        </is>
      </c>
      <c r="J153" s="50" t="inlineStr">
        <is>
          <t>今回はロープレなので抜けたのかも</t>
        </is>
      </c>
    </row>
    <row r="154" ht="13" customHeight="1" s="113">
      <c r="A154" s="171" t="n"/>
      <c r="B154" s="221" t="n"/>
      <c r="C154" s="54" t="n">
        <v>25</v>
      </c>
      <c r="D154" s="50" t="inlineStr">
        <is>
          <t>導入に向けた懸念点を聞き出しているか？（テストクロージング）</t>
        </is>
      </c>
      <c r="E154" s="154" t="n"/>
      <c r="F154" s="155" t="n"/>
      <c r="G154" s="48" t="n"/>
      <c r="H154" s="49">
        <f>IF(G154="〇", 1, IF(G154="△", 0.5, 0))</f>
        <v/>
      </c>
      <c r="I154" s="50" t="n"/>
      <c r="J154" s="50" t="n"/>
    </row>
    <row r="155" ht="13" customHeight="1" s="113">
      <c r="A155" s="171" t="n"/>
      <c r="B155" s="221" t="n"/>
      <c r="C155" s="54" t="n">
        <v>26</v>
      </c>
      <c r="D155" s="50" t="inlineStr">
        <is>
          <t>金額懸念に対しての交渉に応じる姿勢は見せているか？</t>
        </is>
      </c>
      <c r="E155" s="154" t="n"/>
      <c r="F155" s="155" t="n"/>
      <c r="G155" s="48" t="n"/>
      <c r="H155" s="49">
        <f>IF(G155="〇", 1, IF(G155="△", 0.5, 0))</f>
        <v/>
      </c>
      <c r="I155" s="49" t="n"/>
      <c r="J155" s="50" t="n"/>
    </row>
    <row r="156" ht="13" customHeight="1" s="113">
      <c r="A156" s="171" t="n"/>
      <c r="B156" s="221" t="n"/>
      <c r="C156" s="54" t="n">
        <v>27</v>
      </c>
      <c r="D156" s="50" t="inlineStr">
        <is>
          <t>ネクストアクションの提案やすり合わせを行っているか？</t>
        </is>
      </c>
      <c r="E156" s="154" t="n"/>
      <c r="F156" s="155" t="n"/>
      <c r="G156" s="48" t="n"/>
      <c r="H156" s="49">
        <f>IF(G156="〇", 1, IF(G156="△", 0.5, 0))</f>
        <v/>
      </c>
      <c r="I156" s="49" t="n"/>
      <c r="J156" s="50" t="n"/>
    </row>
    <row r="157" ht="13" customHeight="1" s="113">
      <c r="A157" s="171" t="n"/>
      <c r="B157" s="221" t="n"/>
      <c r="C157" s="54" t="n">
        <v>28</v>
      </c>
      <c r="D157" s="50" t="inlineStr">
        <is>
          <t>決裁者を交えた次回打ち合わせ日程調整の打診を行っているか？</t>
        </is>
      </c>
      <c r="E157" s="154" t="n"/>
      <c r="F157" s="155" t="n"/>
      <c r="G157" s="48" t="n"/>
      <c r="H157" s="49">
        <f>IF(G157="〇", 1, IF(G157="△", 0.5, 0))</f>
        <v/>
      </c>
      <c r="I157" s="49" t="n"/>
      <c r="J157" s="50" t="n"/>
    </row>
    <row r="158" ht="13" customHeight="1" s="113">
      <c r="A158" s="171" t="n"/>
      <c r="B158" s="221" t="n"/>
      <c r="C158" s="54" t="n">
        <v>29</v>
      </c>
      <c r="D158" s="50" t="inlineStr">
        <is>
          <t>検討期限を区切っているか？</t>
        </is>
      </c>
      <c r="E158" s="154" t="n"/>
      <c r="F158" s="155" t="n"/>
      <c r="G158" s="48" t="n"/>
      <c r="H158" s="49">
        <f>IF(G158="〇", 1, IF(G158="△", 0.5, 0))</f>
        <v/>
      </c>
      <c r="I158" s="49" t="n"/>
      <c r="J158" s="50" t="n"/>
    </row>
    <row r="159" ht="13" customHeight="1" s="113">
      <c r="A159" s="171" t="n"/>
      <c r="B159" s="221" t="n"/>
      <c r="C159" s="54" t="n">
        <v>30</v>
      </c>
      <c r="D159" s="50" t="inlineStr">
        <is>
          <t>金額に対しての価値が伝わっており、価格に対しい安いと思える価値訴求ができているか？</t>
        </is>
      </c>
      <c r="E159" s="154" t="n"/>
      <c r="F159" s="155" t="n"/>
      <c r="G159" s="48" t="n"/>
      <c r="H159" s="49">
        <f>IF(G159="〇", 1, IF(G159="△", 0.5, 0))</f>
        <v/>
      </c>
      <c r="I159" s="49" t="n"/>
      <c r="J159" s="50" t="n"/>
    </row>
    <row r="160" ht="13" customHeight="1" s="113">
      <c r="A160" s="171" t="n"/>
      <c r="B160" s="222" t="n"/>
      <c r="C160" s="54" t="n">
        <v>31</v>
      </c>
      <c r="D160" s="50" t="inlineStr">
        <is>
          <t>強引なクロージングで終えるのではなく気分の良い終話だったか</t>
        </is>
      </c>
      <c r="E160" s="154" t="n"/>
      <c r="F160" s="155" t="n"/>
      <c r="G160" s="48" t="n"/>
      <c r="H160" s="49">
        <f>IF(G160="〇", 1, IF(G160="△", 0.5, 0))</f>
        <v/>
      </c>
      <c r="I160" s="49" t="n"/>
      <c r="J160" s="50" t="n"/>
    </row>
    <row r="161" ht="22" customHeight="1" s="113">
      <c r="A161" s="217" t="inlineStr">
        <is>
          <t>商談後</t>
        </is>
      </c>
      <c r="B161" s="174" t="n"/>
      <c r="C161" s="174" t="n"/>
      <c r="D161" s="174" t="n"/>
      <c r="E161" s="174" t="n"/>
      <c r="F161" s="174" t="n"/>
      <c r="G161" s="174" t="n"/>
      <c r="H161" s="174" t="n"/>
      <c r="I161" s="174" t="n"/>
      <c r="J161" s="175" t="n"/>
    </row>
    <row r="162" ht="14" customHeight="1" s="113">
      <c r="A162" s="69" t="n"/>
      <c r="B162" s="231" t="inlineStr">
        <is>
          <t>商談後対応</t>
        </is>
      </c>
      <c r="C162" s="67" t="n">
        <v>1</v>
      </c>
      <c r="D162" s="50" t="inlineStr">
        <is>
          <t>商談後のサンクスメールは最速で送られてきたか？</t>
        </is>
      </c>
      <c r="E162" s="154" t="n"/>
      <c r="F162" s="155" t="n"/>
      <c r="G162" s="48" t="n"/>
      <c r="H162" s="49">
        <f>IF(G162="〇", 1, IF(G162="△", 0.5, 0))</f>
        <v/>
      </c>
      <c r="I162" s="50" t="inlineStr">
        <is>
          <t>〇：6時間以内
△：24時間以内
✕：24時間以上</t>
        </is>
      </c>
      <c r="J162" s="49" t="n"/>
    </row>
    <row r="163" ht="14" customHeight="1" s="113">
      <c r="A163" s="69" t="n"/>
      <c r="B163" s="227" t="n"/>
      <c r="C163" s="67" t="n">
        <v>2</v>
      </c>
      <c r="D163" s="50" t="inlineStr">
        <is>
          <t>サンクスメールは商談企業ごとに内容を合わせて送っているか？</t>
        </is>
      </c>
      <c r="E163" s="154" t="n"/>
      <c r="F163" s="155" t="n"/>
      <c r="G163" s="48" t="n"/>
      <c r="H163" s="49">
        <f>IF(G163="〇", 1, IF(G163="△", 0.5, 0))</f>
        <v/>
      </c>
      <c r="I163" s="49" t="n"/>
      <c r="J163" s="49" t="n"/>
    </row>
    <row r="164" ht="14" customHeight="1" s="113">
      <c r="A164" s="69" t="n"/>
      <c r="B164" s="227" t="n"/>
      <c r="C164" s="67" t="n">
        <v>3</v>
      </c>
      <c r="D164" s="50" t="inlineStr">
        <is>
          <t>商談後に追加質問を送った後の回答返信速度</t>
        </is>
      </c>
      <c r="E164" s="154" t="n"/>
      <c r="F164" s="155" t="n"/>
      <c r="G164" s="48" t="n"/>
      <c r="H164" s="49">
        <f>IF(G164="〇", 1, IF(G164="△", 0.5, 0))</f>
        <v/>
      </c>
      <c r="I164" s="50" t="inlineStr">
        <is>
          <t>〇：6時間以内
△：24時間以内
✕：24時間以上</t>
        </is>
      </c>
      <c r="J164" s="49" t="n"/>
    </row>
    <row r="165" ht="14" customHeight="1" s="113">
      <c r="A165" s="69" t="inlineStr">
        <is>
          <t>商談後フォロー</t>
        </is>
      </c>
      <c r="B165" s="227" t="n"/>
      <c r="C165" s="67" t="n">
        <v>4</v>
      </c>
      <c r="D165" s="50" t="inlineStr">
        <is>
          <t>商談で区切った検討期限日時にフォローの連絡があったか</t>
        </is>
      </c>
      <c r="E165" s="154" t="n"/>
      <c r="F165" s="155" t="n"/>
      <c r="G165" s="48" t="n"/>
      <c r="H165" s="49">
        <f>IF(G165="〇", 1, IF(G165="△", 0.5, 0))</f>
        <v/>
      </c>
      <c r="I165" s="49" t="n"/>
      <c r="J165" s="49" t="n"/>
    </row>
    <row r="166" ht="14" customHeight="1" s="113">
      <c r="A166" s="69" t="n"/>
      <c r="B166" s="228" t="n"/>
      <c r="C166" s="67" t="n">
        <v>5</v>
      </c>
      <c r="D166" s="50" t="inlineStr">
        <is>
          <t>営業資料だけではなく事例や提案資料など検討材料になりえる資料の共有があったか</t>
        </is>
      </c>
      <c r="E166" s="154" t="n"/>
      <c r="F166" s="155" t="n"/>
      <c r="G166" s="48" t="n"/>
      <c r="H166" s="49">
        <f>IF(G166="〇", 1, IF(G166="△", 0.5, 0))</f>
        <v/>
      </c>
      <c r="I166" s="49" t="n"/>
      <c r="J166" s="49" t="n"/>
    </row>
    <row r="167" ht="14" customHeight="1" s="113">
      <c r="A167" s="69" t="n"/>
      <c r="B167" s="232" t="inlineStr">
        <is>
          <t>全体評価</t>
        </is>
      </c>
      <c r="C167" s="67" t="n">
        <v>6</v>
      </c>
      <c r="D167" s="50" t="inlineStr">
        <is>
          <t>会社自体に信頼性を感じることができたか？</t>
        </is>
      </c>
      <c r="E167" s="154" t="n"/>
      <c r="F167" s="155" t="n"/>
      <c r="G167" s="48" t="n"/>
      <c r="H167" s="49">
        <f>IF(G167="〇", 1, IF(G167="△", 0.5, 0))</f>
        <v/>
      </c>
      <c r="I167" s="49" t="n"/>
      <c r="J167" s="49" t="n"/>
    </row>
    <row r="168" ht="14" customHeight="1" s="113">
      <c r="A168" s="69" t="n"/>
      <c r="B168" s="227" t="n"/>
      <c r="C168" s="67" t="n">
        <v>7</v>
      </c>
      <c r="D168" s="50" t="inlineStr">
        <is>
          <t>サービス自体に信頼性を持てると感じることはできたか？</t>
        </is>
      </c>
      <c r="E168" s="154" t="n"/>
      <c r="F168" s="155" t="n"/>
      <c r="G168" s="48" t="n"/>
      <c r="H168" s="49">
        <f>IF(G168="〇", 1, IF(G168="△", 0.5, 0))</f>
        <v/>
      </c>
      <c r="I168" s="49" t="n"/>
      <c r="J168" s="49" t="n"/>
    </row>
    <row r="169" ht="14" customHeight="1" s="113">
      <c r="A169" s="69" t="n"/>
      <c r="B169" s="227" t="n"/>
      <c r="C169" s="67" t="n">
        <v>8</v>
      </c>
      <c r="D169" s="50" t="inlineStr">
        <is>
          <t>営業マンの対応は正直かつ誠実で好印象を持つことはできたか？</t>
        </is>
      </c>
      <c r="E169" s="154" t="n"/>
      <c r="F169" s="155" t="n"/>
      <c r="G169" s="48" t="n"/>
      <c r="H169" s="49">
        <f>IF(G169="〇", 1, IF(G169="△", 0.5, 0))</f>
        <v/>
      </c>
      <c r="I169" s="49" t="n"/>
      <c r="J169" s="49" t="n"/>
    </row>
    <row r="170" ht="14" customHeight="1" s="113">
      <c r="A170" s="69" t="n"/>
      <c r="B170" s="227" t="n"/>
      <c r="C170" s="67" t="n">
        <v>9</v>
      </c>
      <c r="D170" s="50" t="inlineStr">
        <is>
          <t>相手の立場にたった商談だったと評価することはできるか？</t>
        </is>
      </c>
      <c r="E170" s="154" t="n"/>
      <c r="F170" s="155" t="n"/>
      <c r="G170" s="48" t="n"/>
      <c r="H170" s="49">
        <f>IF(G170="〇", 1, IF(G170="△", 0.5, 0))</f>
        <v/>
      </c>
      <c r="I170" s="49" t="n"/>
      <c r="J170" s="49" t="n"/>
    </row>
    <row r="171" ht="14" customHeight="1" s="113">
      <c r="A171" s="69" t="n"/>
      <c r="B171" s="227" t="n"/>
      <c r="C171" s="67" t="n">
        <v>10</v>
      </c>
      <c r="D171" s="50" t="inlineStr">
        <is>
          <t>サービス内容はわかりやすく、商談の時間で理解しきることはできたか？</t>
        </is>
      </c>
      <c r="E171" s="154" t="n"/>
      <c r="F171" s="155" t="n"/>
      <c r="G171" s="48" t="n"/>
      <c r="H171" s="49">
        <f>IF(G171="〇", 1, IF(G171="△", 0.5, 0))</f>
        <v/>
      </c>
      <c r="I171" s="49" t="n"/>
      <c r="J171" s="49" t="n"/>
    </row>
    <row r="172" ht="14" customHeight="1" s="113">
      <c r="A172" s="69" t="n"/>
      <c r="B172" s="228" t="n"/>
      <c r="C172" s="67" t="n">
        <v>11</v>
      </c>
      <c r="D172" s="50" t="inlineStr">
        <is>
          <t>営業代行会社への発注をしている企業に勧めたいと思えたか？</t>
        </is>
      </c>
      <c r="E172" s="154" t="n"/>
      <c r="F172" s="155" t="n"/>
      <c r="G172" s="48" t="n"/>
      <c r="H172" s="49">
        <f>IF(G172="〇", 1, IF(G172="△", 0.5, 0))</f>
        <v/>
      </c>
      <c r="I172" s="49" t="n"/>
      <c r="J172" s="49" t="n"/>
    </row>
  </sheetData>
  <mergeCells count="197">
    <mergeCell ref="B11:D11"/>
    <mergeCell ref="D76:F76"/>
    <mergeCell ref="C44:E44"/>
    <mergeCell ref="B75:B78"/>
    <mergeCell ref="B162:B166"/>
    <mergeCell ref="D116:F116"/>
    <mergeCell ref="B153:B160"/>
    <mergeCell ref="C40:E40"/>
    <mergeCell ref="D75:F75"/>
    <mergeCell ref="D166:F166"/>
    <mergeCell ref="B123:B125"/>
    <mergeCell ref="D102:F102"/>
    <mergeCell ref="A41:B41"/>
    <mergeCell ref="D168:F168"/>
    <mergeCell ref="D165:F165"/>
    <mergeCell ref="F33:J33"/>
    <mergeCell ref="D143:F143"/>
    <mergeCell ref="D92:F92"/>
    <mergeCell ref="D152:F152"/>
    <mergeCell ref="B6:D6"/>
    <mergeCell ref="A130:A160"/>
    <mergeCell ref="D133:F133"/>
    <mergeCell ref="D142:F142"/>
    <mergeCell ref="D94:F94"/>
    <mergeCell ref="D129:F129"/>
    <mergeCell ref="I42:J42"/>
    <mergeCell ref="B72:B74"/>
    <mergeCell ref="B4:D4"/>
    <mergeCell ref="A42:B42"/>
    <mergeCell ref="A16:D16"/>
    <mergeCell ref="D144:F144"/>
    <mergeCell ref="C34:E34"/>
    <mergeCell ref="A35:B35"/>
    <mergeCell ref="C42:E42"/>
    <mergeCell ref="F43:G43"/>
    <mergeCell ref="I44:J44"/>
    <mergeCell ref="D119:F119"/>
    <mergeCell ref="D128:F128"/>
    <mergeCell ref="D159:F159"/>
    <mergeCell ref="B83:B90"/>
    <mergeCell ref="D80:F80"/>
    <mergeCell ref="B120:B122"/>
    <mergeCell ref="D96:F96"/>
    <mergeCell ref="D105:F105"/>
    <mergeCell ref="D170:F170"/>
    <mergeCell ref="A39:B39"/>
    <mergeCell ref="B140:B152"/>
    <mergeCell ref="D120:F120"/>
    <mergeCell ref="A48:J49"/>
    <mergeCell ref="D154:F154"/>
    <mergeCell ref="I46:J46"/>
    <mergeCell ref="B8:D8"/>
    <mergeCell ref="D107:F107"/>
    <mergeCell ref="F34:G34"/>
    <mergeCell ref="A45:B45"/>
    <mergeCell ref="D163:F163"/>
    <mergeCell ref="D91:F91"/>
    <mergeCell ref="D147:F147"/>
    <mergeCell ref="D162:F162"/>
    <mergeCell ref="A161:J161"/>
    <mergeCell ref="D156:F156"/>
    <mergeCell ref="C46:E46"/>
    <mergeCell ref="D171:F171"/>
    <mergeCell ref="B10:D10"/>
    <mergeCell ref="D106:F106"/>
    <mergeCell ref="D137:F137"/>
    <mergeCell ref="D146:F146"/>
    <mergeCell ref="D93:F93"/>
    <mergeCell ref="C39:E39"/>
    <mergeCell ref="I41:J41"/>
    <mergeCell ref="A37:B37"/>
    <mergeCell ref="B9:D9"/>
    <mergeCell ref="F45:G45"/>
    <mergeCell ref="A46:B46"/>
    <mergeCell ref="F42:G42"/>
    <mergeCell ref="D74:F74"/>
    <mergeCell ref="D130:F130"/>
    <mergeCell ref="D83:F83"/>
    <mergeCell ref="A82:J82"/>
    <mergeCell ref="D117:F117"/>
    <mergeCell ref="D157:F157"/>
    <mergeCell ref="C38:E38"/>
    <mergeCell ref="I43:J43"/>
    <mergeCell ref="B5:D5"/>
    <mergeCell ref="B91:B95"/>
    <mergeCell ref="D132:F132"/>
    <mergeCell ref="D110:F110"/>
    <mergeCell ref="D85:F85"/>
    <mergeCell ref="F46:G46"/>
    <mergeCell ref="B117:B119"/>
    <mergeCell ref="D100:F100"/>
    <mergeCell ref="D109:F109"/>
    <mergeCell ref="F39:G39"/>
    <mergeCell ref="I35:J35"/>
    <mergeCell ref="A71:J71"/>
    <mergeCell ref="B126:B129"/>
    <mergeCell ref="D158:F158"/>
    <mergeCell ref="D111:F111"/>
    <mergeCell ref="C35:E35"/>
    <mergeCell ref="D108:F108"/>
    <mergeCell ref="D86:F86"/>
    <mergeCell ref="D95:F95"/>
    <mergeCell ref="A34:B34"/>
    <mergeCell ref="D104:F104"/>
    <mergeCell ref="D160:F160"/>
    <mergeCell ref="B14:D14"/>
    <mergeCell ref="D136:F136"/>
    <mergeCell ref="B1:D1"/>
    <mergeCell ref="D150:F150"/>
    <mergeCell ref="D145:F145"/>
    <mergeCell ref="D97:F97"/>
    <mergeCell ref="B13:D13"/>
    <mergeCell ref="A36:B36"/>
    <mergeCell ref="I45:J45"/>
    <mergeCell ref="D78:F78"/>
    <mergeCell ref="D87:F87"/>
    <mergeCell ref="C36:E36"/>
    <mergeCell ref="B167:B172"/>
    <mergeCell ref="D122:F122"/>
    <mergeCell ref="F36:G36"/>
    <mergeCell ref="I37:J37"/>
    <mergeCell ref="D121:F121"/>
    <mergeCell ref="A50:J68"/>
    <mergeCell ref="D73:F73"/>
    <mergeCell ref="D164:F164"/>
    <mergeCell ref="D113:F113"/>
    <mergeCell ref="C37:E37"/>
    <mergeCell ref="A17:D31"/>
    <mergeCell ref="D148:F148"/>
    <mergeCell ref="D123:F123"/>
    <mergeCell ref="D115:F115"/>
    <mergeCell ref="B130:B134"/>
    <mergeCell ref="D138:F138"/>
    <mergeCell ref="D172:F172"/>
    <mergeCell ref="D99:F99"/>
    <mergeCell ref="A38:B38"/>
    <mergeCell ref="A43:B43"/>
    <mergeCell ref="D84:F84"/>
    <mergeCell ref="D140:F140"/>
    <mergeCell ref="D155:F155"/>
    <mergeCell ref="D149:F149"/>
    <mergeCell ref="H34:J34"/>
    <mergeCell ref="A72:A81"/>
    <mergeCell ref="A40:B40"/>
    <mergeCell ref="B12:D12"/>
    <mergeCell ref="D101:F101"/>
    <mergeCell ref="D124:F124"/>
    <mergeCell ref="D77:F77"/>
    <mergeCell ref="D151:F151"/>
    <mergeCell ref="C41:E41"/>
    <mergeCell ref="D126:F126"/>
    <mergeCell ref="D141:F141"/>
    <mergeCell ref="D70:F70"/>
    <mergeCell ref="D135:F135"/>
    <mergeCell ref="I36:J36"/>
    <mergeCell ref="F40:G40"/>
    <mergeCell ref="C43:E43"/>
    <mergeCell ref="D125:F125"/>
    <mergeCell ref="D72:F72"/>
    <mergeCell ref="D103:F103"/>
    <mergeCell ref="D134:F134"/>
    <mergeCell ref="D112:F112"/>
    <mergeCell ref="D118:F118"/>
    <mergeCell ref="D127:F127"/>
    <mergeCell ref="D167:F167"/>
    <mergeCell ref="B79:B81"/>
    <mergeCell ref="B15:D15"/>
    <mergeCell ref="D114:F114"/>
    <mergeCell ref="F41:G41"/>
    <mergeCell ref="F35:G35"/>
    <mergeCell ref="B105:B116"/>
    <mergeCell ref="D89:F89"/>
    <mergeCell ref="D98:F98"/>
    <mergeCell ref="B135:B139"/>
    <mergeCell ref="D169:F169"/>
    <mergeCell ref="F38:G38"/>
    <mergeCell ref="D79:F79"/>
    <mergeCell ref="A33:E33"/>
    <mergeCell ref="D88:F88"/>
    <mergeCell ref="I39:J39"/>
    <mergeCell ref="D153:F153"/>
    <mergeCell ref="B7:D7"/>
    <mergeCell ref="I1:J1"/>
    <mergeCell ref="D81:F81"/>
    <mergeCell ref="F37:G37"/>
    <mergeCell ref="B3:D3"/>
    <mergeCell ref="D90:F90"/>
    <mergeCell ref="I38:J38"/>
    <mergeCell ref="A83:A104"/>
    <mergeCell ref="C45:E45"/>
    <mergeCell ref="A105:A129"/>
    <mergeCell ref="D131:F131"/>
    <mergeCell ref="A44:B44"/>
    <mergeCell ref="D139:F139"/>
    <mergeCell ref="I40:J40"/>
    <mergeCell ref="B2:D2"/>
    <mergeCell ref="F44:G44"/>
  </mergeCells>
  <conditionalFormatting sqref="G72:G81 G83:G160 G162:G172">
    <cfRule type="cellIs" priority="1" operator="equal" dxfId="0">
      <formula>"✕"</formula>
    </cfRule>
  </conditionalFormatting>
  <dataValidations count="1">
    <dataValidation sqref="G72:G81 G83:G160 G162:G172" showDropDown="0" showInputMessage="0" showErrorMessage="0" allowBlank="1" type="list">
      <formula1>"〇,△,✕"</formula1>
    </dataValidation>
  </dataValidations>
  <hyperlinks>
    <hyperlink xmlns:r="http://schemas.openxmlformats.org/officeDocument/2006/relationships" ref="B3"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I153" r:id="rId5"/>
  </hyperlinks>
  <printOptions horizontalCentered="1" gridLines="1"/>
  <pageMargins left="0.7" right="0.7" top="0.75" bottom="0.75" header="0" footer="0"/>
  <pageSetup orientation="portrait" paperSize="9" fitToHeight="0" pageOrder="overThenDown" cellComments="atEnd"/>
  <drawing xmlns:r="http://schemas.openxmlformats.org/officeDocument/2006/relationships" r:id="rId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2026-02-12T08:08:34Z</dcterms:created>
  <dcterms:modified xmlns:dcterms="http://purl.org/dc/terms/" xmlns:xsi="http://www.w3.org/2001/XMLSchema-instance" xsi:type="dcterms:W3CDTF">2026-02-12T08:08:34Z</dcterms:modified>
  <cp:lastModifiedBy>学斗 藤本</cp:lastModifiedBy>
</cp:coreProperties>
</file>