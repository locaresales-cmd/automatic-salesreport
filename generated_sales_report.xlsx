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80" windowWidth="29400" windowHeight="18440" tabRatio="600" firstSheet="0" activeTab="0" autoFilterDateGrouping="1"/>
  </bookViews>
  <sheets>
    <sheet xmlns:r="http://schemas.openxmlformats.org/officeDocument/2006/relationships" name="エキスパートハブ様" sheetId="1" state="visible" r:id="rId1"/>
  </sheets>
  <definedNames/>
  <calcPr calcId="191029" fullCalcOnLoad="1"/>
</workbook>
</file>

<file path=xl/styles.xml><?xml version="1.0" encoding="utf-8"?>
<styleSheet xmlns="http://schemas.openxmlformats.org/spreadsheetml/2006/main">
  <numFmts count="1">
    <numFmt numFmtId="164" formatCode="0&quot;点&quot;"/>
  </numFmts>
  <fonts count="32">
    <font>
      <name val="Arial"/>
      <color rgb="FF000000"/>
      <sz val="10"/>
      <scheme val="minor"/>
    </font>
    <font>
      <name val="Arial"/>
      <family val="2"/>
      <b val="1"/>
      <color rgb="FF000000"/>
      <sz val="13"/>
    </font>
    <font>
      <name val="Arial"/>
      <family val="2"/>
      <color rgb="FF000000"/>
      <sz val="10"/>
    </font>
    <font>
      <name val="&quot;Meiryo UI&quot;"/>
      <color rgb="FF000000"/>
      <sz val="10"/>
    </font>
    <font>
      <name val="&quot;Meiryo UI&quot;"/>
      <color rgb="FFFFFFFF"/>
      <sz val="10"/>
    </font>
    <font>
      <name val="Arial"/>
      <family val="2"/>
      <b val="1"/>
      <color theme="1"/>
      <sz val="14"/>
      <scheme val="minor"/>
    </font>
    <font>
      <name val="Arial"/>
      <family val="2"/>
      <b val="1"/>
      <color rgb="FF000000"/>
      <sz val="10"/>
    </font>
    <font>
      <name val="Arial"/>
      <family val="2"/>
      <color rgb="FFFFFFFF"/>
      <sz val="10"/>
    </font>
    <font>
      <name val="Arial"/>
      <family val="2"/>
      <color rgb="FF000000"/>
      <sz val="10"/>
      <scheme val="minor"/>
    </font>
    <font>
      <name val="Arial"/>
      <family val="2"/>
      <color rgb="FF000000"/>
      <sz val="10"/>
      <u val="single"/>
    </font>
    <font>
      <name val="Arial"/>
      <family val="2"/>
      <color rgb="FFFFFFFF"/>
      <sz val="10"/>
      <scheme val="minor"/>
    </font>
    <font>
      <name val="Arial"/>
      <family val="2"/>
      <b val="1"/>
      <color rgb="FF000000"/>
      <sz val="10"/>
      <scheme val="minor"/>
    </font>
    <font>
      <name val="Arial"/>
      <family val="2"/>
      <color rgb="FF0000FF"/>
      <sz val="10"/>
      <u val="single"/>
    </font>
    <font>
      <name val="Arial"/>
      <family val="2"/>
      <b val="1"/>
      <color theme="1"/>
      <sz val="10"/>
      <scheme val="minor"/>
    </font>
    <font>
      <name val="Arial"/>
      <family val="2"/>
      <color theme="1"/>
      <sz val="10"/>
      <u val="single"/>
    </font>
    <font>
      <name val="Arial"/>
      <family val="2"/>
      <b val="1"/>
      <color theme="0"/>
      <sz val="12"/>
      <scheme val="minor"/>
    </font>
    <font>
      <name val="Arial"/>
      <family val="2"/>
      <b val="1"/>
      <color rgb="FF000000"/>
      <sz val="18"/>
    </font>
    <font>
      <name val="Arial"/>
      <family val="2"/>
      <color theme="1"/>
      <sz val="10"/>
      <scheme val="minor"/>
    </font>
    <font>
      <name val="&quot;Meiryo UI&quot;"/>
      <b val="1"/>
      <color theme="0"/>
      <sz val="10"/>
    </font>
    <font>
      <name val="Arial"/>
      <family val="2"/>
      <b val="1"/>
      <color rgb="FFFFFFFF"/>
      <sz val="10"/>
    </font>
    <font>
      <name val="Arial"/>
      <family val="2"/>
      <color theme="1"/>
      <sz val="10"/>
    </font>
    <font>
      <name val="&quot;Meiryo UI&quot;"/>
      <b val="1"/>
      <color rgb="FFFFFFFF"/>
      <sz val="10"/>
    </font>
    <font>
      <name val="Arial"/>
      <family val="2"/>
      <b val="1"/>
      <color theme="0"/>
      <sz val="8"/>
    </font>
    <font>
      <name val="Arial"/>
      <family val="2"/>
      <color rgb="FFFFFFFF"/>
      <sz val="10"/>
    </font>
    <font>
      <name val="Arial"/>
      <family val="2"/>
      <b val="1"/>
      <color theme="0"/>
      <sz val="10"/>
    </font>
    <font>
      <name val="Arial"/>
      <family val="2"/>
      <b val="1"/>
      <color rgb="FF000000"/>
      <sz val="24"/>
    </font>
    <font>
      <name val="Arial"/>
      <family val="2"/>
      <b val="1"/>
      <color rgb="FF000000"/>
      <sz val="12"/>
    </font>
    <font>
      <name val="Arial"/>
      <family val="2"/>
      <b val="1"/>
      <color rgb="FFFFFFFF"/>
      <sz val="17"/>
    </font>
    <font>
      <name val="Arial"/>
      <family val="2"/>
      <b val="1"/>
      <color rgb="FF000000"/>
      <sz val="11"/>
    </font>
    <font>
      <name val="Arial"/>
      <family val="2"/>
      <color rgb="FF000000"/>
      <sz val="10"/>
      <u val="single"/>
    </font>
    <font>
      <name val="Arial"/>
      <charset val="128"/>
      <family val="3"/>
      <sz val="6"/>
      <scheme val="minor"/>
    </font>
    <font>
      <name val="MS Gothic"/>
      <charset val="128"/>
      <family val="2"/>
      <color rgb="FF000000"/>
      <sz val="10"/>
    </font>
  </fonts>
  <fills count="15">
    <fill>
      <patternFill/>
    </fill>
    <fill>
      <patternFill patternType="gray125"/>
    </fill>
    <fill>
      <patternFill patternType="solid">
        <fgColor rgb="FFD9D9D9"/>
        <bgColor rgb="FFD9D9D9"/>
      </patternFill>
    </fill>
    <fill>
      <patternFill patternType="solid">
        <fgColor rgb="FFF4CCCC"/>
        <bgColor rgb="FFF4CCCC"/>
      </patternFill>
    </fill>
    <fill>
      <patternFill patternType="solid">
        <fgColor rgb="FF000000"/>
        <bgColor rgb="FF000000"/>
      </patternFill>
    </fill>
    <fill>
      <patternFill patternType="solid">
        <fgColor rgb="FFD9D2E9"/>
        <bgColor rgb="FFD9D2E9"/>
      </patternFill>
    </fill>
    <fill>
      <patternFill patternType="solid">
        <fgColor rgb="FF999999"/>
        <bgColor rgb="FF999999"/>
      </patternFill>
    </fill>
    <fill>
      <patternFill patternType="solid">
        <fgColor rgb="FFCFE2F3"/>
        <bgColor rgb="FFCFE2F3"/>
      </patternFill>
    </fill>
    <fill>
      <patternFill patternType="solid">
        <fgColor rgb="FFFFF2CC"/>
        <bgColor rgb="FFFFF2CC"/>
      </patternFill>
    </fill>
    <fill>
      <patternFill patternType="solid">
        <fgColor rgb="FFD9EAD3"/>
        <bgColor rgb="FFD9EAD3"/>
      </patternFill>
    </fill>
    <fill>
      <patternFill patternType="solid">
        <fgColor rgb="FFC9DAF8"/>
        <bgColor rgb="FFC9DAF8"/>
      </patternFill>
    </fill>
    <fill>
      <patternFill patternType="solid">
        <fgColor rgb="FFF9CB9C"/>
        <bgColor rgb="FFF9CB9C"/>
      </patternFill>
    </fill>
    <fill>
      <patternFill patternType="solid">
        <fgColor rgb="FFFCE5CD"/>
        <bgColor rgb="FFFCE5CD"/>
      </patternFill>
    </fill>
    <fill>
      <patternFill patternType="solid">
        <fgColor rgb="FFEA9999"/>
        <bgColor rgb="FFEA9999"/>
      </patternFill>
    </fill>
    <fill>
      <patternFill patternType="solid">
        <fgColor rgb="FFB6D7A8"/>
        <bgColor rgb="FFB6D7A8"/>
      </patternFill>
    </fill>
  </fills>
  <borders count="68">
    <border>
      <left/>
      <right/>
      <top/>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right/>
      <top style="thin">
        <color rgb="FF999999"/>
      </top>
      <bottom style="thin">
        <color rgb="FF999999"/>
      </bottom>
      <diagonal/>
    </border>
    <border>
      <left/>
      <right style="thin">
        <color rgb="FF999999"/>
      </right>
      <top style="thin">
        <color rgb="FF999999"/>
      </top>
      <bottom style="thin">
        <color rgb="FF999999"/>
      </bottom>
      <diagonal/>
    </border>
    <border>
      <left style="thick">
        <color rgb="FF000000"/>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ck">
        <color rgb="FF000000"/>
      </right>
      <top/>
      <bottom style="dotted">
        <color rgb="FF000000"/>
      </bottom>
      <diagonal/>
    </border>
    <border>
      <left style="thick">
        <color rgb="FF000000"/>
      </left>
      <right style="thick">
        <color rgb="FF000000"/>
      </right>
      <top style="dotted">
        <color rgb="FF000000"/>
      </top>
      <bottom style="dotted">
        <color rgb="FF000000"/>
      </bottom>
      <diagonal/>
    </border>
    <border>
      <left style="thick">
        <color rgb="FF000000"/>
      </left>
      <right style="thick">
        <color rgb="FF000000"/>
      </right>
      <top style="dotted">
        <color rgb="FF000000"/>
      </top>
      <bottom style="thick">
        <color rgb="FF000000"/>
      </bottom>
      <diagonal/>
    </border>
    <border>
      <left style="thin">
        <color rgb="FF999999"/>
      </left>
      <right/>
      <top style="thin">
        <color rgb="FF999999"/>
      </top>
      <bottom/>
      <diagonal/>
    </border>
    <border>
      <left/>
      <right/>
      <top style="thin">
        <color rgb="FF999999"/>
      </top>
      <bottom/>
      <diagonal/>
    </border>
    <border>
      <left/>
      <right style="thin">
        <color rgb="FF999999"/>
      </right>
      <top style="thin">
        <color rgb="FF999999"/>
      </top>
      <bottom/>
      <diagonal/>
    </border>
    <border>
      <left style="thin">
        <color rgb="FF999999"/>
      </left>
      <right/>
      <top/>
      <bottom/>
      <diagonal/>
    </border>
    <border>
      <left/>
      <right style="thin">
        <color rgb="FF999999"/>
      </right>
      <top/>
      <bottom/>
      <diagonal/>
    </border>
    <border>
      <left style="thin">
        <color rgb="FF999999"/>
      </left>
      <right/>
      <top/>
      <bottom style="thin">
        <color rgb="FF999999"/>
      </bottom>
      <diagonal/>
    </border>
    <border>
      <left/>
      <right/>
      <top/>
      <bottom style="thin">
        <color rgb="FF999999"/>
      </bottom>
      <diagonal/>
    </border>
    <border>
      <left/>
      <right style="thin">
        <color rgb="FF999999"/>
      </right>
      <top/>
      <bottom style="thin">
        <color rgb="FF999999"/>
      </bottom>
      <diagonal/>
    </border>
    <border>
      <left/>
      <right/>
      <top style="thick">
        <color rgb="FF000000"/>
      </top>
      <bottom/>
      <diagonal/>
    </border>
    <border>
      <left/>
      <right style="thick">
        <color rgb="FF000000"/>
      </right>
      <top style="thick">
        <color rgb="FF000000"/>
      </top>
      <bottom/>
      <diagonal/>
    </border>
    <border>
      <left/>
      <right style="medium">
        <color rgb="FF000000"/>
      </right>
      <top style="medium">
        <color rgb="FF000000"/>
      </top>
      <bottom/>
      <diagonal/>
    </border>
    <border>
      <left/>
      <right/>
      <top style="medium">
        <color rgb="FF000000"/>
      </top>
      <bottom/>
      <diagonal/>
    </border>
    <border>
      <left/>
      <right style="thick">
        <color rgb="FF000000"/>
      </right>
      <top style="medium">
        <color rgb="FF000000"/>
      </top>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style="thick">
        <color rgb="FF000000"/>
      </right>
      <top style="medium">
        <color rgb="FF000000"/>
      </top>
      <bottom style="medium">
        <color rgb="FF000000"/>
      </bottom>
      <diagonal/>
    </border>
    <border>
      <left/>
      <right style="thin">
        <color rgb="FF000000"/>
      </right>
      <top style="medium">
        <color rgb="FF000000"/>
      </top>
      <bottom style="dotted">
        <color rgb="FF000000"/>
      </bottom>
      <diagonal/>
    </border>
    <border>
      <left/>
      <right/>
      <top style="medium">
        <color rgb="FF000000"/>
      </top>
      <bottom style="dotted">
        <color rgb="FF000000"/>
      </bottom>
      <diagonal/>
    </border>
    <border>
      <left/>
      <right style="thick">
        <color rgb="FF000000"/>
      </right>
      <top style="medium">
        <color rgb="FF000000"/>
      </top>
      <bottom style="dotted">
        <color rgb="FF000000"/>
      </bottom>
      <diagonal/>
    </border>
    <border>
      <left/>
      <right style="thin">
        <color rgb="FF000000"/>
      </right>
      <top style="dotted">
        <color rgb="FF000000"/>
      </top>
      <bottom style="dotted">
        <color rgb="FF000000"/>
      </bottom>
      <diagonal/>
    </border>
    <border>
      <left/>
      <right/>
      <top style="dotted">
        <color rgb="FF000000"/>
      </top>
      <bottom style="dotted">
        <color rgb="FF000000"/>
      </bottom>
      <diagonal/>
    </border>
    <border>
      <left/>
      <right style="thick">
        <color rgb="FF000000"/>
      </right>
      <top style="dotted">
        <color rgb="FF000000"/>
      </top>
      <bottom style="dotted">
        <color rgb="FF000000"/>
      </bottom>
      <diagonal/>
    </border>
    <border>
      <left/>
      <right style="thin">
        <color rgb="FF000000"/>
      </right>
      <top style="dotted">
        <color rgb="FF000000"/>
      </top>
      <bottom style="thick">
        <color rgb="FF000000"/>
      </bottom>
      <diagonal/>
    </border>
    <border>
      <left/>
      <right/>
      <top style="dotted">
        <color rgb="FF000000"/>
      </top>
      <bottom style="thick">
        <color rgb="FF000000"/>
      </bottom>
      <diagonal/>
    </border>
    <border>
      <left/>
      <right style="thick">
        <color rgb="FF000000"/>
      </right>
      <top style="dotted">
        <color rgb="FF000000"/>
      </top>
      <bottom style="thick">
        <color rgb="FF000000"/>
      </bottom>
      <diagonal/>
    </border>
    <border>
      <left/>
      <right/>
      <top/>
      <bottom style="thick">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999999"/>
      </left>
      <right style="thin">
        <color rgb="FF999999"/>
      </right>
      <top style="thin">
        <color rgb="FF999999"/>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999999"/>
      </left>
      <right style="thin">
        <color rgb="FF000000"/>
      </right>
      <top style="thin">
        <color rgb="FF999999"/>
      </top>
      <bottom style="thin">
        <color rgb="FF000000"/>
      </bottom>
      <diagonal/>
    </border>
    <border>
      <left style="thin">
        <color rgb="FF000000"/>
      </left>
      <right style="thin">
        <color rgb="FF999999"/>
      </right>
      <top style="thin">
        <color rgb="FF999999"/>
      </top>
      <bottom style="thin">
        <color rgb="FF000000"/>
      </bottom>
      <diagonal/>
    </border>
    <border>
      <left style="thin">
        <color rgb="FF999999"/>
      </left>
      <right style="thin">
        <color rgb="FF000000"/>
      </right>
      <top style="thin">
        <color rgb="FF000000"/>
      </top>
      <bottom style="thin">
        <color rgb="FF000000"/>
      </bottom>
      <diagonal/>
    </border>
    <border>
      <left style="thin">
        <color rgb="FF000000"/>
      </left>
      <right style="thin">
        <color rgb="FF999999"/>
      </right>
      <top style="thin">
        <color rgb="FF000000"/>
      </top>
      <bottom style="thin">
        <color rgb="FF000000"/>
      </bottom>
      <diagonal/>
    </border>
    <border>
      <left style="thin">
        <color rgb="FF999999"/>
      </left>
      <right style="thin">
        <color rgb="FF000000"/>
      </right>
      <top style="thin">
        <color rgb="FF000000"/>
      </top>
      <bottom/>
      <diagonal/>
    </border>
    <border>
      <left style="thin">
        <color rgb="FF000000"/>
      </left>
      <right style="thin">
        <color rgb="FF999999"/>
      </right>
      <top style="thin">
        <color rgb="FF000000"/>
      </top>
      <bottom/>
      <diagonal/>
    </border>
    <border>
      <left style="thin">
        <color rgb="FF000000"/>
      </left>
      <right style="thin">
        <color rgb="FF000000"/>
      </right>
      <top style="thin">
        <color rgb="FF000000"/>
      </top>
      <bottom style="thin">
        <color rgb="FF000000"/>
      </bottom>
      <diagonal/>
    </border>
    <border>
      <left style="thin">
        <color rgb="FF999999"/>
      </left>
      <right style="thin">
        <color rgb="FF999999"/>
      </right>
      <top/>
      <bottom/>
      <diagonal/>
    </border>
    <border>
      <left style="thin">
        <color rgb="FF999999"/>
      </left>
      <right style="thin">
        <color rgb="FF999999"/>
      </right>
      <top/>
      <bottom style="thin">
        <color rgb="FF999999"/>
      </bottom>
      <diagonal/>
    </border>
    <border>
      <left style="thick">
        <color rgb="FF000000"/>
      </left>
      <right style="thin">
        <color rgb="FF000000"/>
      </right>
      <top style="dotted">
        <color rgb="FF000000"/>
      </top>
      <bottom style="dotted">
        <color rgb="FF000000"/>
      </bottom>
      <diagonal/>
    </border>
    <border>
      <left style="thick">
        <color rgb="FF000000"/>
      </left>
      <right style="thick">
        <color rgb="FF000000"/>
      </right>
      <top style="thick">
        <color rgb="FF000000"/>
      </top>
      <bottom style="thick">
        <color rgb="FF000000"/>
      </bottom>
      <diagonal/>
    </border>
    <border>
      <left style="thick">
        <color rgb="FF000000"/>
      </left>
      <right style="thick">
        <color rgb="FF000000"/>
      </right>
      <top style="thick">
        <color rgb="FF000000"/>
      </top>
      <bottom/>
      <diagonal/>
    </border>
    <border>
      <left style="thick">
        <color rgb="FF000000"/>
      </left>
      <right style="medium">
        <color rgb="FF000000"/>
      </right>
      <top style="medium">
        <color rgb="FF000000"/>
      </top>
      <bottom/>
      <diagonal/>
    </border>
    <border>
      <left style="medium">
        <color rgb="FF000000"/>
      </left>
      <right style="thick">
        <color rgb="FF000000"/>
      </right>
      <top style="medium">
        <color rgb="FF000000"/>
      </top>
      <bottom style="medium">
        <color rgb="FF000000"/>
      </bottom>
      <diagonal/>
    </border>
    <border>
      <left style="medium">
        <color rgb="FF000000"/>
      </left>
      <right style="thick">
        <color rgb="FF000000"/>
      </right>
      <top style="medium">
        <color rgb="FF000000"/>
      </top>
      <bottom/>
      <diagonal/>
    </border>
    <border>
      <left style="thick">
        <color rgb="FF000000"/>
      </left>
      <right style="medium">
        <color rgb="FF000000"/>
      </right>
      <top style="medium">
        <color rgb="FF000000"/>
      </top>
      <bottom style="medium">
        <color rgb="FF000000"/>
      </bottom>
      <diagonal/>
    </border>
    <border>
      <left style="thick">
        <color rgb="FF000000"/>
      </left>
      <right style="thin">
        <color rgb="FF000000"/>
      </right>
      <top style="medium">
        <color rgb="FF000000"/>
      </top>
      <bottom style="dotted">
        <color rgb="FF000000"/>
      </bottom>
      <diagonal/>
    </border>
    <border>
      <left style="thick">
        <color rgb="FF000000"/>
      </left>
      <right style="thin">
        <color rgb="FF000000"/>
      </right>
      <top style="dotted">
        <color rgb="FF000000"/>
      </top>
      <bottom style="thick">
        <color rgb="FF000000"/>
      </bottom>
      <diagonal/>
    </border>
    <border>
      <left/>
      <right/>
      <top style="dotted">
        <color rgb="FF000000"/>
      </top>
      <bottom/>
      <diagonal/>
    </border>
    <border>
      <left/>
      <right style="thick">
        <color rgb="FF000000"/>
      </right>
      <top style="dotted">
        <color rgb="FF000000"/>
      </top>
      <bottom/>
      <diagonal/>
    </border>
    <border>
      <left/>
      <right style="thin">
        <color rgb="FF000000"/>
      </right>
      <top style="dotted">
        <color rgb="FF000000"/>
      </top>
      <bottom/>
      <diagonal/>
    </border>
    <border>
      <left/>
      <right style="thin">
        <color rgb="FF000000"/>
      </right>
      <top style="medium">
        <color rgb="FF000000"/>
      </top>
      <bottom/>
      <diagonal/>
    </border>
  </borders>
  <cellStyleXfs count="1">
    <xf numFmtId="0" fontId="0" fillId="0" borderId="0"/>
  </cellStyleXfs>
  <cellXfs count="163">
    <xf numFmtId="0" fontId="0" fillId="0" borderId="0" pivotButton="0" quotePrefix="0" xfId="0"/>
    <xf numFmtId="0" fontId="1" fillId="2" borderId="1" applyAlignment="1" pivotButton="0" quotePrefix="0" xfId="0">
      <alignment horizontal="right" vertical="center"/>
    </xf>
    <xf numFmtId="0" fontId="3" fillId="0" borderId="0" applyAlignment="1" pivotButton="0" quotePrefix="0" xfId="0">
      <alignment horizontal="center" vertical="center"/>
    </xf>
    <xf numFmtId="0" fontId="4" fillId="0" borderId="0" applyAlignment="1" pivotButton="0" quotePrefix="0" xfId="0">
      <alignment horizontal="center" vertical="center"/>
    </xf>
    <xf numFmtId="0" fontId="6" fillId="2" borderId="1" applyAlignment="1" pivotButton="0" quotePrefix="0" xfId="0">
      <alignment horizontal="right" vertical="center"/>
    </xf>
    <xf numFmtId="0" fontId="7" fillId="0" borderId="0" applyAlignment="1" pivotButton="0" quotePrefix="0" xfId="0">
      <alignment horizontal="right" vertical="center"/>
    </xf>
    <xf numFmtId="0" fontId="8" fillId="0" borderId="0" applyAlignment="1" pivotButton="0" quotePrefix="0" xfId="0">
      <alignment horizontal="center" vertical="center"/>
    </xf>
    <xf numFmtId="164" fontId="3" fillId="0" borderId="0" applyAlignment="1" pivotButton="0" quotePrefix="0" xfId="0">
      <alignment horizontal="center" vertical="center"/>
    </xf>
    <xf numFmtId="0" fontId="6" fillId="3" borderId="5" applyAlignment="1" pivotButton="0" quotePrefix="0" xfId="0">
      <alignment horizontal="center" vertical="center"/>
    </xf>
    <xf numFmtId="0" fontId="6" fillId="3" borderId="6" applyAlignment="1" pivotButton="0" quotePrefix="0" xfId="0">
      <alignment horizontal="center" vertical="center"/>
    </xf>
    <xf numFmtId="164" fontId="2" fillId="0" borderId="0" applyAlignment="1" pivotButton="0" quotePrefix="0" xfId="0">
      <alignment horizontal="center" vertical="center"/>
    </xf>
    <xf numFmtId="0" fontId="6" fillId="0" borderId="7" applyAlignment="1" pivotButton="0" quotePrefix="0" xfId="0">
      <alignment horizontal="left" vertical="center"/>
    </xf>
    <xf numFmtId="0" fontId="10" fillId="0" borderId="0" applyAlignment="1" pivotButton="0" quotePrefix="0" xfId="0">
      <alignment horizontal="right"/>
    </xf>
    <xf numFmtId="0" fontId="6" fillId="0" borderId="8" applyAlignment="1" pivotButton="0" quotePrefix="0" xfId="0">
      <alignment horizontal="left" vertical="center"/>
    </xf>
    <xf numFmtId="0" fontId="10" fillId="0" borderId="0" pivotButton="0" quotePrefix="0" xfId="0"/>
    <xf numFmtId="0" fontId="8" fillId="0" borderId="0" pivotButton="0" quotePrefix="0" xfId="0"/>
    <xf numFmtId="0" fontId="11" fillId="0" borderId="0" pivotButton="0" quotePrefix="0" xfId="0"/>
    <xf numFmtId="0" fontId="13" fillId="2" borderId="1" applyAlignment="1" pivotButton="0" quotePrefix="0" xfId="0">
      <alignment horizontal="right" vertical="center"/>
    </xf>
    <xf numFmtId="0" fontId="15" fillId="4" borderId="1" applyAlignment="1" pivotButton="0" quotePrefix="0" xfId="0">
      <alignment horizontal="right" vertical="center"/>
    </xf>
    <xf numFmtId="0" fontId="6" fillId="5" borderId="1" applyAlignment="1" pivotButton="0" quotePrefix="0" xfId="0">
      <alignment horizontal="right" vertical="center"/>
    </xf>
    <xf numFmtId="0" fontId="6" fillId="7" borderId="1" applyAlignment="1" pivotButton="0" quotePrefix="0" xfId="0">
      <alignment horizontal="right" vertical="center"/>
    </xf>
    <xf numFmtId="0" fontId="7" fillId="0" borderId="0" applyAlignment="1" pivotButton="0" quotePrefix="0" xfId="0">
      <alignment horizontal="center" vertical="center"/>
    </xf>
    <xf numFmtId="0" fontId="6" fillId="8" borderId="1" applyAlignment="1" pivotButton="0" quotePrefix="0" xfId="0">
      <alignment horizontal="right" vertical="center"/>
    </xf>
    <xf numFmtId="0" fontId="6" fillId="3" borderId="1" applyAlignment="1" pivotButton="0" quotePrefix="0" xfId="0">
      <alignment horizontal="right" vertical="center"/>
    </xf>
    <xf numFmtId="0" fontId="6" fillId="9" borderId="1" applyAlignment="1" pivotButton="0" quotePrefix="0" xfId="0">
      <alignment horizontal="right" vertical="center"/>
    </xf>
    <xf numFmtId="0" fontId="17" fillId="0" borderId="0" applyAlignment="1" pivotButton="0" quotePrefix="0" xfId="0">
      <alignment horizontal="center" vertical="center"/>
    </xf>
    <xf numFmtId="0" fontId="6" fillId="0" borderId="0" applyAlignment="1" pivotButton="0" quotePrefix="0" xfId="0">
      <alignment horizontal="center" vertical="center"/>
    </xf>
    <xf numFmtId="0" fontId="6" fillId="0" borderId="9" applyAlignment="1" pivotButton="0" quotePrefix="0" xfId="0">
      <alignment horizontal="left" vertical="center"/>
    </xf>
    <xf numFmtId="0" fontId="10" fillId="0" borderId="0" applyAlignment="1" pivotButton="0" quotePrefix="0" xfId="0">
      <alignment horizontal="center" vertical="center"/>
    </xf>
    <xf numFmtId="0" fontId="6" fillId="10" borderId="5" applyAlignment="1" pivotButton="0" quotePrefix="0" xfId="0">
      <alignment horizontal="center" vertical="center" wrapText="1"/>
    </xf>
    <xf numFmtId="0" fontId="6" fillId="10" borderId="6" applyAlignment="1" pivotButton="0" quotePrefix="0" xfId="0">
      <alignment horizontal="center" vertical="center" wrapText="1"/>
    </xf>
    <xf numFmtId="0" fontId="2" fillId="0" borderId="0" applyAlignment="1" pivotButton="0" quotePrefix="0" xfId="0">
      <alignment horizontal="right" vertical="center"/>
    </xf>
    <xf numFmtId="0" fontId="4" fillId="0" borderId="0" applyAlignment="1" pivotButton="0" quotePrefix="0" xfId="0">
      <alignment horizontal="left" vertical="center"/>
    </xf>
    <xf numFmtId="0" fontId="19" fillId="0" borderId="0" applyAlignment="1" pivotButton="0" quotePrefix="0" xfId="0">
      <alignment horizontal="center" vertical="center"/>
    </xf>
    <xf numFmtId="0" fontId="20" fillId="0" borderId="21" pivotButton="0" quotePrefix="0" xfId="0"/>
    <xf numFmtId="0" fontId="20" fillId="0" borderId="0" pivotButton="0" quotePrefix="0" xfId="0"/>
    <xf numFmtId="0" fontId="20" fillId="0" borderId="35" pivotButton="0" quotePrefix="0" xfId="0"/>
    <xf numFmtId="0" fontId="21" fillId="0" borderId="0" applyAlignment="1" pivotButton="0" quotePrefix="0" xfId="0">
      <alignment horizontal="center" vertical="center"/>
    </xf>
    <xf numFmtId="0" fontId="22" fillId="0" borderId="0" applyAlignment="1" pivotButton="0" quotePrefix="0" xfId="0">
      <alignment horizontal="center" vertical="center"/>
    </xf>
    <xf numFmtId="0" fontId="23" fillId="0" borderId="0" applyAlignment="1" pivotButton="0" quotePrefix="0" xfId="0">
      <alignment horizontal="center"/>
    </xf>
    <xf numFmtId="0" fontId="23" fillId="0" borderId="0" pivotButton="0" quotePrefix="0" xfId="0"/>
    <xf numFmtId="0" fontId="24" fillId="0" borderId="0" applyAlignment="1" pivotButton="0" quotePrefix="0" xfId="0">
      <alignment horizontal="center" vertical="center"/>
    </xf>
    <xf numFmtId="0" fontId="18" fillId="0" borderId="0" applyAlignment="1" pivotButton="0" quotePrefix="0" xfId="0">
      <alignment horizontal="center" vertical="center"/>
    </xf>
    <xf numFmtId="0" fontId="18" fillId="4" borderId="1" applyAlignment="1" pivotButton="0" quotePrefix="0" xfId="0">
      <alignment horizontal="center" vertical="center"/>
    </xf>
    <xf numFmtId="0" fontId="22" fillId="4" borderId="43" applyAlignment="1" pivotButton="0" quotePrefix="0" xfId="0">
      <alignment horizontal="center" vertical="center"/>
    </xf>
    <xf numFmtId="0" fontId="19" fillId="4" borderId="1" applyAlignment="1" pivotButton="0" quotePrefix="0" xfId="0">
      <alignment horizontal="center" vertical="center"/>
    </xf>
    <xf numFmtId="0" fontId="19" fillId="4" borderId="2" applyAlignment="1" pivotButton="0" quotePrefix="0" xfId="0">
      <alignment horizontal="center" vertical="center"/>
    </xf>
    <xf numFmtId="3" fontId="20" fillId="0" borderId="4" applyAlignment="1" pivotButton="0" quotePrefix="0" xfId="0">
      <alignment horizontal="center"/>
    </xf>
    <xf numFmtId="0" fontId="2" fillId="0" borderId="1" applyAlignment="1" pivotButton="0" quotePrefix="0" xfId="0">
      <alignment horizontal="center" vertical="center"/>
    </xf>
    <xf numFmtId="0" fontId="3" fillId="0" borderId="1" applyAlignment="1" pivotButton="0" quotePrefix="0" xfId="0">
      <alignment horizontal="left" vertical="center"/>
    </xf>
    <xf numFmtId="0" fontId="2" fillId="0" borderId="1" applyAlignment="1" pivotButton="0" quotePrefix="0" xfId="0">
      <alignment horizontal="left" vertical="center"/>
    </xf>
    <xf numFmtId="0" fontId="2" fillId="0" borderId="1" applyAlignment="1" pivotButton="0" quotePrefix="0" xfId="0">
      <alignment horizontal="left" vertical="top" wrapText="1"/>
    </xf>
    <xf numFmtId="0" fontId="3" fillId="0" borderId="1" applyAlignment="1" pivotButton="0" quotePrefix="0" xfId="0">
      <alignment horizontal="left" vertical="top" wrapText="1"/>
    </xf>
    <xf numFmtId="3" fontId="20" fillId="0" borderId="1" applyAlignment="1" pivotButton="0" quotePrefix="0" xfId="0">
      <alignment horizontal="center"/>
    </xf>
    <xf numFmtId="3" fontId="2" fillId="0" borderId="4" applyAlignment="1" pivotButton="0" quotePrefix="0" xfId="0">
      <alignment horizontal="center" vertical="center"/>
    </xf>
    <xf numFmtId="0" fontId="3" fillId="0" borderId="2" applyAlignment="1" pivotButton="0" quotePrefix="0" xfId="0">
      <alignment horizontal="left" vertical="center"/>
    </xf>
    <xf numFmtId="0" fontId="3" fillId="0" borderId="46" applyAlignment="1" pivotButton="0" quotePrefix="0" xfId="0">
      <alignment horizontal="left" vertical="center" wrapText="1"/>
    </xf>
    <xf numFmtId="0" fontId="3" fillId="0" borderId="47" applyAlignment="1" pivotButton="0" quotePrefix="0" xfId="0">
      <alignment horizontal="left" vertical="center"/>
    </xf>
    <xf numFmtId="0" fontId="2" fillId="0" borderId="48" applyAlignment="1" pivotButton="0" quotePrefix="0" xfId="0">
      <alignment horizontal="left" vertical="center" wrapText="1"/>
    </xf>
    <xf numFmtId="0" fontId="2" fillId="0" borderId="49" applyAlignment="1" pivotButton="0" quotePrefix="0" xfId="0">
      <alignment horizontal="left" vertical="center"/>
    </xf>
    <xf numFmtId="0" fontId="3" fillId="0" borderId="48" applyAlignment="1" pivotButton="0" quotePrefix="0" xfId="0">
      <alignment horizontal="left" vertical="center" wrapText="1"/>
    </xf>
    <xf numFmtId="0" fontId="3" fillId="0" borderId="49" applyAlignment="1" pivotButton="0" quotePrefix="0" xfId="0">
      <alignment horizontal="left" vertical="center"/>
    </xf>
    <xf numFmtId="0" fontId="2" fillId="0" borderId="50" applyAlignment="1" pivotButton="0" quotePrefix="0" xfId="0">
      <alignment horizontal="left" vertical="center" wrapText="1"/>
    </xf>
    <xf numFmtId="0" fontId="2" fillId="0" borderId="51" applyAlignment="1" pivotButton="0" quotePrefix="0" xfId="0">
      <alignment horizontal="left" vertical="center"/>
    </xf>
    <xf numFmtId="0" fontId="3" fillId="0" borderId="52" applyAlignment="1" pivotButton="0" quotePrefix="0" xfId="0">
      <alignment horizontal="left" vertical="center"/>
    </xf>
    <xf numFmtId="0" fontId="2" fillId="0" borderId="52" applyAlignment="1" pivotButton="0" quotePrefix="0" xfId="0">
      <alignment horizontal="left" vertical="center"/>
    </xf>
    <xf numFmtId="0" fontId="2" fillId="7" borderId="53" applyAlignment="1" pivotButton="0" quotePrefix="0" xfId="0">
      <alignment horizontal="center" vertical="center"/>
    </xf>
    <xf numFmtId="3" fontId="2" fillId="0" borderId="1" applyAlignment="1" pivotButton="0" quotePrefix="0" xfId="0">
      <alignment horizontal="center" vertical="center"/>
    </xf>
    <xf numFmtId="0" fontId="29" fillId="0" borderId="1" applyAlignment="1" pivotButton="0" quotePrefix="0" xfId="0">
      <alignment horizontal="left" vertical="center"/>
    </xf>
    <xf numFmtId="0" fontId="28" fillId="14" borderId="13" applyAlignment="1" pivotButton="0" quotePrefix="0" xfId="0">
      <alignment horizontal="center" vertical="center"/>
    </xf>
    <xf numFmtId="0" fontId="6" fillId="0" borderId="7" applyAlignment="1" pivotButton="0" quotePrefix="0" xfId="0">
      <alignment horizontal="fill" vertical="center"/>
    </xf>
    <xf numFmtId="0" fontId="6" fillId="0" borderId="8" applyAlignment="1" pivotButton="0" quotePrefix="0" xfId="0">
      <alignment horizontal="fill" vertical="center"/>
    </xf>
    <xf numFmtId="0" fontId="31" fillId="0" borderId="0" pivotButton="0" quotePrefix="0" xfId="0"/>
    <xf numFmtId="164" fontId="3" fillId="6" borderId="1" applyAlignment="1" pivotButton="0" quotePrefix="0" xfId="0">
      <alignment horizontal="center" vertical="center"/>
    </xf>
    <xf numFmtId="0" fontId="0" fillId="0" borderId="3" pivotButton="0" quotePrefix="0" xfId="0"/>
    <xf numFmtId="0" fontId="0" fillId="0" borderId="4" pivotButton="0" quotePrefix="0" xfId="0"/>
    <xf numFmtId="0" fontId="20" fillId="0" borderId="1" pivotButton="0" quotePrefix="0" xfId="0"/>
    <xf numFmtId="0" fontId="20" fillId="0" borderId="31" pivotButton="0" quotePrefix="0" xfId="0"/>
    <xf numFmtId="0" fontId="0" fillId="0" borderId="30" pivotButton="0" quotePrefix="0" xfId="0"/>
    <xf numFmtId="0" fontId="0" fillId="0" borderId="31" pivotButton="0" quotePrefix="0" xfId="0"/>
    <xf numFmtId="0" fontId="2" fillId="5" borderId="52" applyAlignment="1" pivotButton="0" quotePrefix="0" xfId="0">
      <alignment horizontal="center" vertical="center"/>
    </xf>
    <xf numFmtId="0" fontId="0" fillId="0" borderId="44" pivotButton="0" quotePrefix="0" xfId="0"/>
    <xf numFmtId="0" fontId="0" fillId="0" borderId="45" pivotButton="0" quotePrefix="0" xfId="0"/>
    <xf numFmtId="0" fontId="2" fillId="9" borderId="54" applyAlignment="1" pivotButton="0" quotePrefix="0" xfId="0">
      <alignment horizontal="center" vertical="center"/>
    </xf>
    <xf numFmtId="0" fontId="0" fillId="0" borderId="53" pivotButton="0" quotePrefix="0" xfId="0"/>
    <xf numFmtId="0" fontId="0" fillId="0" borderId="54" pivotButton="0" quotePrefix="0" xfId="0"/>
    <xf numFmtId="0" fontId="2" fillId="0" borderId="1" applyAlignment="1" pivotButton="0" quotePrefix="0" xfId="0">
      <alignment horizontal="left" vertical="center"/>
    </xf>
    <xf numFmtId="0" fontId="2" fillId="3" borderId="52" applyAlignment="1" pivotButton="0" quotePrefix="0" xfId="0">
      <alignment horizontal="center" vertical="center"/>
    </xf>
    <xf numFmtId="0" fontId="20" fillId="12" borderId="1" applyAlignment="1" pivotButton="0" quotePrefix="0" xfId="0">
      <alignment horizontal="center" vertical="center"/>
    </xf>
    <xf numFmtId="0" fontId="2" fillId="0" borderId="55" applyAlignment="1" pivotButton="0" quotePrefix="0" xfId="0">
      <alignment horizontal="left" vertical="center"/>
    </xf>
    <xf numFmtId="0" fontId="0" fillId="0" borderId="29" pivotButton="0" quotePrefix="0" xfId="0"/>
    <xf numFmtId="164" fontId="3" fillId="0" borderId="1" applyAlignment="1" pivotButton="0" quotePrefix="0" xfId="0">
      <alignment horizontal="center" vertical="center"/>
    </xf>
    <xf numFmtId="0" fontId="3" fillId="0" borderId="1" applyAlignment="1" pivotButton="0" quotePrefix="0" xfId="0">
      <alignment horizontal="left" vertical="center"/>
    </xf>
    <xf numFmtId="0" fontId="16" fillId="0" borderId="57" applyAlignment="1" pivotButton="0" quotePrefix="0" xfId="0">
      <alignment horizontal="center" vertical="center"/>
    </xf>
    <xf numFmtId="0" fontId="0" fillId="0" borderId="18" pivotButton="0" quotePrefix="0" xfId="0"/>
    <xf numFmtId="0" fontId="0" fillId="0" borderId="19" pivotButton="0" quotePrefix="0" xfId="0"/>
    <xf numFmtId="0" fontId="28" fillId="13" borderId="10" applyAlignment="1" pivotButton="0" quotePrefix="0" xfId="0">
      <alignment horizontal="center" vertical="center"/>
    </xf>
    <xf numFmtId="0" fontId="0" fillId="0" borderId="13" pivotButton="0" quotePrefix="0" xfId="0"/>
    <xf numFmtId="0" fontId="20" fillId="0" borderId="31" applyAlignment="1" pivotButton="0" quotePrefix="0" xfId="0">
      <alignment wrapText="1"/>
    </xf>
    <xf numFmtId="0" fontId="6" fillId="0" borderId="58" applyAlignment="1" pivotButton="0" quotePrefix="0" xfId="0">
      <alignment horizontal="center" vertical="center"/>
    </xf>
    <xf numFmtId="0" fontId="0" fillId="0" borderId="20" pivotButton="0" quotePrefix="0" xfId="0"/>
    <xf numFmtId="0" fontId="2" fillId="9" borderId="1" applyAlignment="1" pivotButton="0" quotePrefix="0" xfId="0">
      <alignment horizontal="center" vertical="center"/>
    </xf>
    <xf numFmtId="0" fontId="6" fillId="0" borderId="1" applyAlignment="1" pivotButton="0" quotePrefix="0" xfId="0">
      <alignment horizontal="center" vertical="center"/>
    </xf>
    <xf numFmtId="0" fontId="6" fillId="0" borderId="60" applyAlignment="1" pivotButton="0" quotePrefix="0" xfId="0">
      <alignment horizontal="center" vertical="center"/>
    </xf>
    <xf numFmtId="0" fontId="0" fillId="0" borderId="21" pivotButton="0" quotePrefix="0" xfId="0"/>
    <xf numFmtId="0" fontId="0" fillId="0" borderId="22" pivotButton="0" quotePrefix="0" xfId="0"/>
    <xf numFmtId="0" fontId="2" fillId="0" borderId="62" applyAlignment="1" pivotButton="0" quotePrefix="0" xfId="0">
      <alignment horizontal="left" vertical="center"/>
    </xf>
    <xf numFmtId="0" fontId="0" fillId="0" borderId="26" pivotButton="0" quotePrefix="0" xfId="0"/>
    <xf numFmtId="0" fontId="2" fillId="7" borderId="52" applyAlignment="1" pivotButton="0" quotePrefix="0" xfId="0">
      <alignment horizontal="center" vertical="center"/>
    </xf>
    <xf numFmtId="0" fontId="20" fillId="0" borderId="28" applyAlignment="1" pivotButton="0" quotePrefix="0" xfId="0">
      <alignment wrapText="1"/>
    </xf>
    <xf numFmtId="0" fontId="0" fillId="0" borderId="28" pivotButton="0" quotePrefix="0" xfId="0"/>
    <xf numFmtId="0" fontId="27" fillId="4" borderId="54" applyAlignment="1" pivotButton="0" quotePrefix="0" xfId="0">
      <alignment horizontal="center" vertical="center"/>
    </xf>
    <xf numFmtId="0" fontId="0" fillId="0" borderId="16" pivotButton="0" quotePrefix="0" xfId="0"/>
    <xf numFmtId="0" fontId="0" fillId="0" borderId="17" pivotButton="0" quotePrefix="0" xfId="0"/>
    <xf numFmtId="0" fontId="20" fillId="0" borderId="28" pivotButton="0" quotePrefix="0" xfId="0"/>
    <xf numFmtId="0" fontId="0" fillId="0" borderId="27" pivotButton="0" quotePrefix="0" xfId="0"/>
    <xf numFmtId="0" fontId="25" fillId="0" borderId="52" applyAlignment="1" pivotButton="0" quotePrefix="0" xfId="0">
      <alignment horizontal="center" vertical="center"/>
    </xf>
    <xf numFmtId="0" fontId="0" fillId="0" borderId="36" pivotButton="0" quotePrefix="0" xfId="0"/>
    <xf numFmtId="0" fontId="0" fillId="0" borderId="37" pivotButton="0" quotePrefix="0" xfId="0"/>
    <xf numFmtId="0" fontId="0" fillId="0" borderId="38" pivotButton="0" quotePrefix="0" xfId="0"/>
    <xf numFmtId="0" fontId="0" fillId="0" borderId="39" pivotButton="0" quotePrefix="0" xfId="0"/>
    <xf numFmtId="0" fontId="0" fillId="0" borderId="40" pivotButton="0" quotePrefix="0" xfId="0"/>
    <xf numFmtId="0" fontId="20" fillId="0" borderId="34" applyAlignment="1" pivotButton="0" quotePrefix="0" xfId="0">
      <alignment wrapText="1"/>
    </xf>
    <xf numFmtId="0" fontId="0" fillId="0" borderId="34" pivotButton="0" quotePrefix="0" xfId="0"/>
    <xf numFmtId="0" fontId="9" fillId="0" borderId="1" applyAlignment="1" pivotButton="0" quotePrefix="0" xfId="0">
      <alignment horizontal="left" vertical="center"/>
    </xf>
    <xf numFmtId="0" fontId="6" fillId="0" borderId="61" applyAlignment="1" pivotButton="0" quotePrefix="0" xfId="0">
      <alignment horizontal="center" vertical="center"/>
    </xf>
    <xf numFmtId="0" fontId="0" fillId="0" borderId="23" pivotButton="0" quotePrefix="0" xfId="0"/>
    <xf numFmtId="0" fontId="20" fillId="0" borderId="34" pivotButton="0" quotePrefix="0" xfId="0"/>
    <xf numFmtId="0" fontId="0" fillId="0" borderId="33" pivotButton="0" quotePrefix="0" xfId="0"/>
    <xf numFmtId="0" fontId="14" fillId="0" borderId="1" applyAlignment="1" pivotButton="0" quotePrefix="0" xfId="0">
      <alignment horizontal="center" vertical="center"/>
    </xf>
    <xf numFmtId="0" fontId="2" fillId="0" borderId="63" applyAlignment="1" pivotButton="0" quotePrefix="0" xfId="0">
      <alignment horizontal="left" vertical="center"/>
    </xf>
    <xf numFmtId="0" fontId="0" fillId="0" borderId="32" pivotButton="0" quotePrefix="0" xfId="0"/>
    <xf numFmtId="164" fontId="16" fillId="0" borderId="1" applyAlignment="1" pivotButton="0" quotePrefix="0" xfId="0">
      <alignment horizontal="center" vertical="center"/>
    </xf>
    <xf numFmtId="0" fontId="26" fillId="0" borderId="52" applyAlignment="1" pivotButton="0" quotePrefix="0" xfId="0">
      <alignment horizontal="left" vertical="center" wrapText="1"/>
    </xf>
    <xf numFmtId="0" fontId="0" fillId="0" borderId="41" pivotButton="0" quotePrefix="0" xfId="0"/>
    <xf numFmtId="0" fontId="0" fillId="0" borderId="0" pivotButton="0" quotePrefix="0" xfId="0"/>
    <xf numFmtId="0" fontId="0" fillId="0" borderId="42" pivotButton="0" quotePrefix="0" xfId="0"/>
    <xf numFmtId="0" fontId="18" fillId="0" borderId="1" applyAlignment="1" pivotButton="0" quotePrefix="0" xfId="0">
      <alignment horizontal="center" vertical="center"/>
    </xf>
    <xf numFmtId="0" fontId="0" fillId="0" borderId="11" pivotButton="0" quotePrefix="0" xfId="0"/>
    <xf numFmtId="0" fontId="0" fillId="0" borderId="12" pivotButton="0" quotePrefix="0" xfId="0"/>
    <xf numFmtId="0" fontId="0" fillId="0" borderId="14" pivotButton="0" quotePrefix="0" xfId="0"/>
    <xf numFmtId="0" fontId="0" fillId="0" borderId="15" pivotButton="0" quotePrefix="0" xfId="0"/>
    <xf numFmtId="0" fontId="6" fillId="0" borderId="59" applyAlignment="1" pivotButton="0" quotePrefix="0" xfId="0">
      <alignment horizontal="center" vertical="center"/>
    </xf>
    <xf numFmtId="0" fontId="0" fillId="0" borderId="24" pivotButton="0" quotePrefix="0" xfId="0"/>
    <xf numFmtId="0" fontId="0" fillId="0" borderId="25" pivotButton="0" quotePrefix="0" xfId="0"/>
    <xf numFmtId="0" fontId="28" fillId="5" borderId="52" applyAlignment="1" pivotButton="0" quotePrefix="0" xfId="0">
      <alignment horizontal="center" vertical="center"/>
    </xf>
    <xf numFmtId="0" fontId="24" fillId="4" borderId="1" applyAlignment="1" pivotButton="0" quotePrefix="0" xfId="0">
      <alignment horizontal="center" vertical="center"/>
    </xf>
    <xf numFmtId="0" fontId="2" fillId="5" borderId="14" applyAlignment="1" pivotButton="0" quotePrefix="0" xfId="0">
      <alignment horizontal="center" vertical="center"/>
    </xf>
    <xf numFmtId="164" fontId="3" fillId="6" borderId="2" applyAlignment="1" pivotButton="0" quotePrefix="0" xfId="0">
      <alignment horizontal="center" vertical="center"/>
    </xf>
    <xf numFmtId="164" fontId="3" fillId="6" borderId="3" applyAlignment="1" pivotButton="0" quotePrefix="0" xfId="0">
      <alignment horizontal="center" vertical="center"/>
    </xf>
    <xf numFmtId="164" fontId="3" fillId="6" borderId="4" applyAlignment="1" pivotButton="0" quotePrefix="0" xfId="0">
      <alignment horizontal="center" vertical="center"/>
    </xf>
    <xf numFmtId="0" fontId="2" fillId="11" borderId="1" applyAlignment="1" pivotButton="0" quotePrefix="0" xfId="0">
      <alignment horizontal="center" vertical="center"/>
    </xf>
    <xf numFmtId="0" fontId="12" fillId="0" borderId="1" applyAlignment="1" pivotButton="0" quotePrefix="0" xfId="0">
      <alignment horizontal="left" vertical="center"/>
    </xf>
    <xf numFmtId="0" fontId="5" fillId="2" borderId="56" applyAlignment="1" pivotButton="0" quotePrefix="0" xfId="0">
      <alignment horizontal="center" vertical="center"/>
    </xf>
    <xf numFmtId="0" fontId="0" fillId="0" borderId="6" pivotButton="0" quotePrefix="0" xfId="0"/>
    <xf numFmtId="0" fontId="28" fillId="7" borderId="2" applyAlignment="1" pivotButton="0" quotePrefix="0" xfId="0">
      <alignment horizontal="center" vertical="center"/>
    </xf>
    <xf numFmtId="0" fontId="28" fillId="8" borderId="1" applyAlignment="1" pivotButton="0" quotePrefix="0" xfId="0">
      <alignment horizontal="center" vertical="center"/>
    </xf>
    <xf numFmtId="14" fontId="2" fillId="0" borderId="1" applyAlignment="1" pivotButton="0" quotePrefix="0" xfId="0">
      <alignment horizontal="left" vertical="center"/>
    </xf>
    <xf numFmtId="164" fontId="3" fillId="0" borderId="0" applyAlignment="1" pivotButton="0" quotePrefix="0" xfId="0">
      <alignment horizontal="center" vertical="center"/>
    </xf>
    <xf numFmtId="164" fontId="2" fillId="0" borderId="0" applyAlignment="1" pivotButton="0" quotePrefix="0" xfId="0">
      <alignment horizontal="center" vertical="center"/>
    </xf>
    <xf numFmtId="164" fontId="16" fillId="0" borderId="1" applyAlignment="1" pivotButton="0" quotePrefix="0" xfId="0">
      <alignment horizontal="center" vertical="center"/>
    </xf>
    <xf numFmtId="164" fontId="3" fillId="6" borderId="1" applyAlignment="1" pivotButton="0" quotePrefix="0" xfId="0">
      <alignment horizontal="center" vertical="center"/>
    </xf>
    <xf numFmtId="164" fontId="3" fillId="0" borderId="1" applyAlignment="1" pivotButton="0" quotePrefix="0" xfId="0">
      <alignment horizontal="center" vertical="center"/>
    </xf>
  </cellXfs>
  <cellStyles count="1">
    <cellStyle name="標準" xfId="0" builtinId="0"/>
  </cellStyles>
  <dxfs count="1">
    <dxf>
      <fill>
        <patternFill patternType="solid">
          <fgColor rgb="FFF4C7C3"/>
          <bgColor rgb="FFF4C7C3"/>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b="0">
                <a:solidFill>
                  <a:srgbClr val="757575"/>
                </a:solidFill>
                <a:latin typeface="+mn-lt"/>
              </a:defRPr>
            </a:pPr>
            <a:r>
              <a:rPr lang="ja-JP" altLang="en-US" b="0">
                <a:solidFill>
                  <a:srgbClr val="757575"/>
                </a:solidFill>
                <a:latin typeface="+mn-lt"/>
              </a:rPr>
              <a:t>営業全体評価</a:t>
            </a:r>
          </a:p>
        </rich>
      </tx>
      <layout>
        <manualLayout>
          <xMode val="edge"/>
          <yMode val="edge"/>
          <wMode val="factor"/>
          <hMode val="factor"/>
          <x val="0.03807234620305572"/>
          <y val="0.05036010482119128"/>
        </manualLayout>
      </layout>
      <overlay val="0"/>
    </title>
    <plotArea>
      <layout/>
      <radarChart>
        <radarStyle val="marker"/>
        <varyColors val="1"/>
        <ser>
          <idx val="0"/>
          <order val="0"/>
          <spPr>
            <a:ln xmlns:a="http://schemas.openxmlformats.org/drawingml/2006/main" w="19050" cmpd="sng">
              <a:solidFill>
                <a:srgbClr val="4285F4"/>
              </a:solidFill>
              <a:prstDash val="solid"/>
            </a:ln>
          </spPr>
          <marker>
            <symbol val="circle"/>
            <size val="10"/>
            <spPr>
              <a:solidFill xmlns:a="http://schemas.openxmlformats.org/drawingml/2006/main">
                <a:srgbClr val="4285F4"/>
              </a:solidFill>
              <a:ln xmlns:a="http://schemas.openxmlformats.org/drawingml/2006/main" cmpd="sng">
                <a:solidFill>
                  <a:srgbClr val="4285F4"/>
                </a:solidFill>
                <a:prstDash val="solid"/>
              </a:ln>
            </spPr>
          </marker>
          <cat>
            <strRef>
              <f>エキスパートハブ様!$A$11:$A$15</f>
              <strCache>
                <ptCount val="5"/>
                <pt idx="0">
                  <v>商談前ＩＳ</v>
                </pt>
                <pt idx="1">
                  <v>商談態勢</v>
                </pt>
                <pt idx="2">
                  <v>営業人間力</v>
                </pt>
                <pt idx="3">
                  <v>商談対応力</v>
                </pt>
                <pt idx="4">
                  <v>商談後フォロー</v>
                </pt>
              </strCache>
            </strRef>
          </cat>
          <val>
            <numRef>
              <f>エキスパートハブ様!$B$11:$B$15</f>
              <numCache>
                <formatCode>0"点"</formatCode>
                <ptCount val="5"/>
                <pt idx="0">
                  <v>0</v>
                </pt>
                <pt idx="1">
                  <v>77.27272727272727</v>
                </pt>
                <pt idx="2">
                  <v>84</v>
                </pt>
                <pt idx="3">
                  <v>64.51612903225806</v>
                </pt>
                <pt idx="4">
                  <v>0</v>
                </pt>
              </numCache>
            </numRef>
          </val>
        </ser>
        <dLbls>
          <showLegendKey val="0"/>
          <showVal val="0"/>
          <showCatName val="0"/>
          <showSerName val="0"/>
          <showPercent val="0"/>
          <showBubbleSize val="0"/>
        </dLbls>
        <axId val="1213137981"/>
        <axId val="56476653"/>
      </radarChart>
      <catAx>
        <axId val="1213137981"/>
        <scaling>
          <orientation val="minMax"/>
        </scaling>
        <delete val="0"/>
        <axPos val="b"/>
        <title>
          <tx>
            <rich>
              <a:bodyPr xmlns:a="http://schemas.openxmlformats.org/drawingml/2006/main"/>
              <a:lstStyle xmlns:a="http://schemas.openxmlformats.org/drawingml/2006/main"/>
              <a:p xmlns:a="http://schemas.openxmlformats.org/drawingml/2006/main">
                <a:pPr lvl="0">
                  <a:defRPr b="0">
                    <a:solidFill>
                      <a:srgbClr val="000000"/>
                    </a:solidFill>
                    <a:latin typeface="+mn-lt"/>
                  </a:defRPr>
                </a:pPr>
                <a:r>
                  <a:t/>
                </a:r>
                <a:endParaRPr lang="ja-JP" altLang="en-US"/>
              </a:p>
            </rich>
          </tx>
          <overlay val="0"/>
        </title>
        <numFmt formatCode="General" sourceLinked="1"/>
        <majorTickMark val="none"/>
        <minorTickMark val="none"/>
        <tickLblPos val="nextTo"/>
        <txPr>
          <a:bodyPr xmlns:a="http://schemas.openxmlformats.org/drawingml/2006/main"/>
          <a:lstStyle xmlns:a="http://schemas.openxmlformats.org/drawingml/2006/main"/>
          <a:p xmlns:a="http://schemas.openxmlformats.org/drawingml/2006/main">
            <a:pPr lvl="0">
              <a:defRPr b="0">
                <a:solidFill>
                  <a:srgbClr val="000000"/>
                </a:solidFill>
                <a:latin typeface="+mn-lt"/>
              </a:defRPr>
            </a:pPr>
            <a:r>
              <a:t/>
            </a:r>
            <a:endParaRPr lang="ja-JP"/>
          </a:p>
        </txPr>
        <crossAx val="56476653"/>
        <crosses val="autoZero"/>
        <auto val="1"/>
        <lblAlgn val="ctr"/>
        <lblOffset val="100"/>
        <noMultiLvlLbl val="1"/>
      </catAx>
      <valAx>
        <axId val="56476653"/>
        <scaling>
          <orientation val="minMax"/>
          <max val="100"/>
        </scaling>
        <delete val="0"/>
        <axPos val="l"/>
        <majorGridlines>
          <spPr>
            <a:ln xmlns:a="http://schemas.openxmlformats.org/drawingml/2006/main">
              <a:solidFill>
                <a:srgbClr val="B7B7B7"/>
              </a:solidFill>
              <a:prstDash val="solid"/>
            </a:ln>
          </spPr>
        </majorGridlines>
        <minorGridlines>
          <spPr>
            <a:ln xmlns:a="http://schemas.openxmlformats.org/drawingml/2006/main">
              <a:solidFill>
                <a:srgbClr val="CCCCCC"/>
              </a:solidFill>
              <a:prstDash val="solid"/>
            </a:ln>
          </spPr>
        </minorGridlines>
        <title>
          <tx>
            <rich>
              <a:bodyPr xmlns:a="http://schemas.openxmlformats.org/drawingml/2006/main"/>
              <a:lstStyle xmlns:a="http://schemas.openxmlformats.org/drawingml/2006/main"/>
              <a:p xmlns:a="http://schemas.openxmlformats.org/drawingml/2006/main">
                <a:pPr lvl="0">
                  <a:defRPr b="0">
                    <a:solidFill>
                      <a:srgbClr val="000000"/>
                    </a:solidFill>
                    <a:latin typeface="+mn-lt"/>
                  </a:defRPr>
                </a:pPr>
                <a:r>
                  <a:t/>
                </a:r>
                <a:endParaRPr lang="ja-JP" altLang="en-US"/>
              </a:p>
            </rich>
          </tx>
          <overlay val="0"/>
        </title>
        <numFmt formatCode="0&quot;点&quot;" sourceLinked="1"/>
        <majorTickMark val="none"/>
        <minorTickMark val="none"/>
        <tickLblPos val="nextTo"/>
        <spPr>
          <a:ln xmlns:a="http://schemas.openxmlformats.org/drawingml/2006/main">
            <a:prstDash val="solid"/>
          </a:ln>
        </spPr>
        <txPr>
          <a:bodyPr xmlns:a="http://schemas.openxmlformats.org/drawingml/2006/main"/>
          <a:lstStyle xmlns:a="http://schemas.openxmlformats.org/drawingml/2006/main"/>
          <a:p xmlns:a="http://schemas.openxmlformats.org/drawingml/2006/main">
            <a:pPr lvl="0">
              <a:defRPr b="0">
                <a:solidFill>
                  <a:srgbClr val="000000"/>
                </a:solidFill>
                <a:latin typeface="+mn-lt"/>
              </a:defRPr>
            </a:pPr>
            <a:r>
              <a:t/>
            </a:r>
            <a:endParaRPr lang="ja-JP"/>
          </a:p>
        </txPr>
        <crossAx val="1213137981"/>
        <crosses val="autoZero"/>
        <crossBetween val="between"/>
      </valAx>
    </plotArea>
    <plotVisOnly val="0"/>
    <dispBlanksAs val="zero"/>
  </chart>
</chartSpace>
</file>

<file path=xl/charts/chart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b="0">
                <a:solidFill>
                  <a:srgbClr val="757575"/>
                </a:solidFill>
                <a:latin typeface="Arial"/>
              </a:defRPr>
            </a:pPr>
            <a:r>
              <a:rPr lang="ja-JP" altLang="en-US" b="0">
                <a:solidFill>
                  <a:srgbClr val="757575"/>
                </a:solidFill>
                <a:latin typeface="Arial"/>
              </a:rPr>
              <a:t>商談評価</a:t>
            </a:r>
          </a:p>
        </rich>
      </tx>
      <layout>
        <manualLayout>
          <xMode val="edge"/>
          <yMode val="edge"/>
          <wMode val="factor"/>
          <hMode val="factor"/>
          <x val="0.03807234620305572"/>
          <y val="0.05036010482119128"/>
        </manualLayout>
      </layout>
      <overlay val="0"/>
    </title>
    <plotArea>
      <layout/>
      <radarChart>
        <radarStyle val="marker"/>
        <varyColors val="1"/>
        <ser>
          <idx val="0"/>
          <order val="0"/>
          <spPr>
            <a:ln xmlns:a="http://schemas.openxmlformats.org/drawingml/2006/main" w="19050" cmpd="sng">
              <a:solidFill>
                <a:srgbClr val="4285F4"/>
              </a:solidFill>
              <a:prstDash val="solid"/>
            </a:ln>
          </spPr>
          <marker>
            <symbol val="circle"/>
            <size val="10"/>
            <spPr>
              <a:solidFill xmlns:a="http://schemas.openxmlformats.org/drawingml/2006/main">
                <a:srgbClr val="4285F4"/>
              </a:solidFill>
              <a:ln xmlns:a="http://schemas.openxmlformats.org/drawingml/2006/main" cmpd="sng">
                <a:solidFill>
                  <a:srgbClr val="4285F4"/>
                </a:solidFill>
                <a:prstDash val="solid"/>
              </a:ln>
            </spPr>
          </marker>
          <cat>
            <strRef>
              <f>エキスパートハブ様!$H$25:$H$28</f>
              <strCache>
                <ptCount val="4"/>
                <pt idx="0">
                  <v>冒頭</v>
                </pt>
                <pt idx="1">
                  <v>質問</v>
                </pt>
                <pt idx="2">
                  <v>サービス説明</v>
                </pt>
                <pt idx="3">
                  <v>クロージング</v>
                </pt>
              </strCache>
            </strRef>
          </cat>
          <val>
            <numRef>
              <f>エキスパートハブ様!$H$20:$H$23</f>
              <numCache>
                <formatCode>0"点"</formatCode>
                <ptCount val="4"/>
                <pt idx="0">
                  <v>70</v>
                </pt>
                <pt idx="1">
                  <v>100</v>
                </pt>
                <pt idx="2">
                  <v>88.46153846153845</v>
                </pt>
                <pt idx="3">
                  <v>0</v>
                </pt>
              </numCache>
            </numRef>
          </val>
        </ser>
        <dLbls>
          <showLegendKey val="0"/>
          <showVal val="0"/>
          <showCatName val="0"/>
          <showSerName val="0"/>
          <showPercent val="0"/>
          <showBubbleSize val="0"/>
        </dLbls>
        <axId val="1952814666"/>
        <axId val="1833026699"/>
      </radarChart>
      <catAx>
        <axId val="1952814666"/>
        <scaling>
          <orientation val="minMax"/>
        </scaling>
        <delete val="0"/>
        <axPos val="b"/>
        <title>
          <tx>
            <rich>
              <a:bodyPr xmlns:a="http://schemas.openxmlformats.org/drawingml/2006/main"/>
              <a:lstStyle xmlns:a="http://schemas.openxmlformats.org/drawingml/2006/main"/>
              <a:p xmlns:a="http://schemas.openxmlformats.org/drawingml/2006/main">
                <a:pPr lvl="0">
                  <a:defRPr b="0">
                    <a:solidFill>
                      <a:srgbClr val="000000"/>
                    </a:solidFill>
                    <a:latin typeface="+mn-lt"/>
                  </a:defRPr>
                </a:pPr>
                <a:r>
                  <a:t/>
                </a:r>
                <a:endParaRPr lang="ja-JP" altLang="en-US"/>
              </a:p>
            </rich>
          </tx>
          <overlay val="0"/>
        </title>
        <numFmt formatCode="General" sourceLinked="1"/>
        <majorTickMark val="none"/>
        <minorTickMark val="none"/>
        <tickLblPos val="nextTo"/>
        <txPr>
          <a:bodyPr xmlns:a="http://schemas.openxmlformats.org/drawingml/2006/main"/>
          <a:lstStyle xmlns:a="http://schemas.openxmlformats.org/drawingml/2006/main"/>
          <a:p xmlns:a="http://schemas.openxmlformats.org/drawingml/2006/main">
            <a:pPr lvl="0">
              <a:defRPr b="0">
                <a:solidFill>
                  <a:srgbClr val="000000"/>
                </a:solidFill>
                <a:latin typeface="+mn-lt"/>
              </a:defRPr>
            </a:pPr>
            <a:r>
              <a:t/>
            </a:r>
            <a:endParaRPr lang="ja-JP"/>
          </a:p>
        </txPr>
        <crossAx val="1833026699"/>
        <crosses val="autoZero"/>
        <auto val="1"/>
        <lblAlgn val="ctr"/>
        <lblOffset val="100"/>
        <noMultiLvlLbl val="1"/>
      </catAx>
      <valAx>
        <axId val="1833026699"/>
        <scaling>
          <orientation val="minMax"/>
          <max val="100"/>
        </scaling>
        <delete val="0"/>
        <axPos val="l"/>
        <majorGridlines>
          <spPr>
            <a:ln xmlns:a="http://schemas.openxmlformats.org/drawingml/2006/main">
              <a:solidFill>
                <a:srgbClr val="B7B7B7"/>
              </a:solidFill>
              <a:prstDash val="solid"/>
            </a:ln>
          </spPr>
        </majorGridlines>
        <minorGridlines>
          <spPr>
            <a:ln xmlns:a="http://schemas.openxmlformats.org/drawingml/2006/main">
              <a:solidFill>
                <a:srgbClr val="CCCCCC"/>
              </a:solidFill>
              <a:prstDash val="solid"/>
            </a:ln>
          </spPr>
        </minorGridlines>
        <title>
          <tx>
            <rich>
              <a:bodyPr xmlns:a="http://schemas.openxmlformats.org/drawingml/2006/main"/>
              <a:lstStyle xmlns:a="http://schemas.openxmlformats.org/drawingml/2006/main"/>
              <a:p xmlns:a="http://schemas.openxmlformats.org/drawingml/2006/main">
                <a:pPr lvl="0">
                  <a:defRPr b="0">
                    <a:solidFill>
                      <a:srgbClr val="000000"/>
                    </a:solidFill>
                    <a:latin typeface="+mn-lt"/>
                  </a:defRPr>
                </a:pPr>
                <a:r>
                  <a:t/>
                </a:r>
                <a:endParaRPr lang="ja-JP" altLang="en-US"/>
              </a:p>
            </rich>
          </tx>
          <overlay val="0"/>
        </title>
        <numFmt formatCode="0&quot;点&quot;" sourceLinked="1"/>
        <majorTickMark val="none"/>
        <minorTickMark val="none"/>
        <tickLblPos val="nextTo"/>
        <spPr>
          <a:ln xmlns:a="http://schemas.openxmlformats.org/drawingml/2006/main">
            <a:prstDash val="solid"/>
          </a:ln>
        </spPr>
        <txPr>
          <a:bodyPr xmlns:a="http://schemas.openxmlformats.org/drawingml/2006/main"/>
          <a:lstStyle xmlns:a="http://schemas.openxmlformats.org/drawingml/2006/main"/>
          <a:p xmlns:a="http://schemas.openxmlformats.org/drawingml/2006/main">
            <a:pPr lvl="0">
              <a:defRPr b="0">
                <a:solidFill>
                  <a:srgbClr val="000000"/>
                </a:solidFill>
                <a:latin typeface="+mn-lt"/>
              </a:defRPr>
            </a:pPr>
            <a:r>
              <a:t/>
            </a:r>
            <a:endParaRPr lang="ja-JP"/>
          </a:p>
        </txPr>
        <crossAx val="1952814666"/>
        <crosses val="autoZero"/>
        <crossBetween val="between"/>
      </valAx>
    </plotArea>
    <plotVisOnly val="0"/>
    <dispBlanksAs val="zero"/>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4</col>
      <colOff>190500</colOff>
      <row>0</row>
      <rowOff>76200</rowOff>
    </from>
    <ext cx="4257675" cy="3305175"/>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fLocksWithSheet="0"/>
  </oneCellAnchor>
  <oneCellAnchor>
    <from>
      <col>4</col>
      <colOff>203200</colOff>
      <row>13</row>
      <rowOff>127000</rowOff>
    </from>
    <ext cx="4257675" cy="29337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fLocksWithSheet="0"/>
  </oneCellAnchor>
</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aleshub.jp/lps/enterprise/experthub" TargetMode="External" Id="rId1"/><Relationship Type="http://schemas.openxmlformats.org/officeDocument/2006/relationships/hyperlink" Target="https://reccloud.com/jp/u/30363kg" TargetMode="External" Id="rId2"/><Relationship Type="http://schemas.openxmlformats.org/officeDocument/2006/relationships/hyperlink" Target="https://docs.google.com/document/d/1bIRv_4RhayRPUwf8SZziJhZV1VZRrLjEm3hU7SuXDUY/edit?hl=JA&amp;tab=t.9j93o0uiski8" TargetMode="External" Id="rId3"/><Relationship Type="http://schemas.openxmlformats.org/officeDocument/2006/relationships/hyperlink" Target="https://drive.google.com/file/d/1jqMrIfNfxgZfaa1UXEfiJLlFX7U8xaLB/view?pli=1" TargetMode="External" Id="rId4"/><Relationship Type="http://schemas.openxmlformats.org/officeDocument/2006/relationships/hyperlink" Target="https://www.wawaoffice.jp/wawawork/bant/" TargetMode="External" Id="rId5"/><Relationship Type="http://schemas.openxmlformats.org/officeDocument/2006/relationships/drawing" Target="/xl/drawings/drawing1.xml" Id="rId6"/></Relationships>
</file>

<file path=xl/worksheets/sheet1.xml><?xml version="1.0" encoding="utf-8"?>
<worksheet xmlns="http://schemas.openxmlformats.org/spreadsheetml/2006/main">
  <sheetPr>
    <tabColor rgb="FFFF0000"/>
    <outlinePr summaryBelow="0" summaryRight="0"/>
    <pageSetUpPr fitToPage="1"/>
  </sheetPr>
  <dimension ref="A1:J172"/>
  <sheetViews>
    <sheetView showGridLines="0" tabSelected="1" zoomScaleNormal="100" workbookViewId="0">
      <selection activeCell="B11" sqref="B11:D11"/>
    </sheetView>
  </sheetViews>
  <sheetFormatPr baseColWidth="10" defaultColWidth="12.6640625" defaultRowHeight="15.75" customHeight="1"/>
  <cols>
    <col width="18.83203125" customWidth="1" style="135" min="1" max="1"/>
    <col width="12.6640625" customWidth="1" style="135" min="2" max="2"/>
    <col width="4" customWidth="1" style="135" min="3" max="3"/>
    <col width="21.33203125" customWidth="1" style="135" min="4" max="4"/>
    <col width="32.6640625" customWidth="1" style="135" min="5" max="5"/>
    <col width="27.1640625" customWidth="1" style="135" min="6" max="6"/>
    <col collapsed="1" width="5.33203125" customWidth="1" style="135" min="7" max="7"/>
    <col hidden="1" outlineLevel="1" width="8.1640625" customWidth="1" style="135" min="8" max="8"/>
    <col width="25.83203125" customWidth="1" style="135" min="9" max="9"/>
    <col width="32.6640625" customWidth="1" style="135" min="10" max="10"/>
  </cols>
  <sheetData>
    <row r="1" ht="29.25" customHeight="1" s="135">
      <c r="A1" s="1" t="inlineStr">
        <is>
          <t>商談企業名：</t>
        </is>
      </c>
      <c r="B1" s="86" t="inlineStr">
        <is>
          <t>日本営業代行株式会社</t>
        </is>
      </c>
      <c r="C1" s="74" t="n"/>
      <c r="D1" s="75" t="n"/>
      <c r="E1" s="2" t="n"/>
      <c r="F1" s="3" t="n"/>
      <c r="G1" s="2" t="n"/>
      <c r="H1" s="2" t="n"/>
      <c r="I1" s="153" t="inlineStr">
        <is>
          <t>Q＆A</t>
        </is>
      </c>
      <c r="J1" s="154" t="n"/>
    </row>
    <row r="2" ht="13" customHeight="1" s="135">
      <c r="A2" s="4" t="inlineStr">
        <is>
          <t>日付：</t>
        </is>
      </c>
      <c r="B2" s="157" t="n">
        <v>45973</v>
      </c>
      <c r="C2" s="74" t="n"/>
      <c r="D2" s="75" t="n"/>
      <c r="E2" s="2" t="n"/>
      <c r="F2" s="5" t="inlineStr">
        <is>
          <t>見た目</t>
        </is>
      </c>
      <c r="G2" s="6" t="n"/>
      <c r="H2" s="158">
        <f>SUM(H72:H81)/10*100</f>
        <v/>
      </c>
      <c r="I2" s="8" t="inlineStr">
        <is>
          <t>弊社→先方質問内容</t>
        </is>
      </c>
      <c r="J2" s="9" t="inlineStr">
        <is>
          <t>回答</t>
        </is>
      </c>
    </row>
    <row r="3" ht="23.25" customHeight="1" s="135">
      <c r="A3" s="4" t="inlineStr">
        <is>
          <t>商談先HP：</t>
        </is>
      </c>
      <c r="B3" s="124" t="inlineStr">
        <is>
          <t>https://www.eigyodaikou.co.jp/</t>
        </is>
      </c>
      <c r="C3" s="74" t="n"/>
      <c r="D3" s="75" t="n"/>
      <c r="E3" s="2" t="n"/>
      <c r="F3" s="5" t="inlineStr">
        <is>
          <t>環境整備</t>
        </is>
      </c>
      <c r="G3" s="6" t="n"/>
      <c r="H3" s="159">
        <f>SUM(H83:H104)/22*100</f>
        <v/>
      </c>
      <c r="I3" s="11" t="inlineStr">
        <is>
          <t>1000件架電するとして、だいたいどれくらいの期間で完了しますか？</t>
        </is>
      </c>
      <c r="J3" s="70" t="inlineStr">
        <is>
          <t>1ヶ月から1ヶ月プラス1週間くらいあれば完了できると思います。</t>
        </is>
      </c>
    </row>
    <row r="4" ht="23.25" customHeight="1" s="135">
      <c r="A4" s="4" t="inlineStr">
        <is>
          <t>先方営業担当者：</t>
        </is>
      </c>
      <c r="B4" s="86" t="inlineStr">
        <is>
          <t>福永直人</t>
        </is>
      </c>
      <c r="C4" s="74" t="n"/>
      <c r="D4" s="75" t="n"/>
      <c r="E4" s="2" t="n"/>
      <c r="F4" s="12" t="inlineStr">
        <is>
          <t>事前情報</t>
        </is>
      </c>
      <c r="G4" s="6" t="n"/>
      <c r="H4" s="158">
        <f>SUM(H105:H129)/25*100</f>
        <v/>
      </c>
      <c r="I4" s="13" t="inlineStr">
        <is>
          <t>具体的なアポイント獲得率の実績はどのくらいですか？</t>
        </is>
      </c>
      <c r="J4" s="71" t="inlineStr">
        <is>
          <t>業種やシチュエーションによって異なりますが、平均すると2%くらいになります。</t>
        </is>
      </c>
    </row>
    <row r="5" ht="23.25" customHeight="1" s="135">
      <c r="A5" s="4" t="inlineStr">
        <is>
          <t>営業担当者役職：</t>
        </is>
      </c>
      <c r="B5" s="86" t="inlineStr">
        <is>
          <t>代表取締役社長</t>
        </is>
      </c>
      <c r="C5" s="74" t="n"/>
      <c r="D5" s="75" t="n"/>
      <c r="E5" s="2" t="n"/>
      <c r="F5" s="14" t="n"/>
      <c r="G5" s="15" t="n"/>
      <c r="H5" s="16" t="n"/>
      <c r="I5" s="13" t="inlineStr">
        <is>
          <t>日々の活動報告はどのような形で行われますか？</t>
        </is>
      </c>
      <c r="J5" s="71" t="inlineStr">
        <is>
          <t>一般的なExcel形式で、会社名、住所、電話番号、話した内容、反応（ガチャ切りなど）を更新し、メールで報告します。</t>
        </is>
      </c>
    </row>
    <row r="6" ht="23.25" customHeight="1" s="135">
      <c r="A6" s="4" t="inlineStr">
        <is>
          <t>CrowdSearch担当者：</t>
        </is>
      </c>
      <c r="B6" s="86" t="inlineStr">
        <is>
          <t>鈴木</t>
        </is>
      </c>
      <c r="C6" s="74" t="n"/>
      <c r="D6" s="75" t="n"/>
      <c r="E6" s="2" t="n"/>
      <c r="F6" s="5" t="inlineStr">
        <is>
          <t>非言語力</t>
        </is>
      </c>
      <c r="G6" s="6" t="n"/>
      <c r="H6" s="158">
        <f>SUM(H130:H160)/31*100</f>
        <v/>
      </c>
      <c r="I6" s="13" t="inlineStr">
        <is>
          <t>もしアポイント率が想定（2%）を下回った場合、対応や修正案はありますか？</t>
        </is>
      </c>
      <c r="J6" s="71" t="inlineStr">
        <is>
          <t>クライアント側でプロパーが営業されているレベルまでは上げていく前提です。もし弊社側で3-6%のアポ率が出ているのであれば、そのロールモデル（スクリプトや話し方）を教えていただければ、それを現場で展開します。電話をかけながらブラッシュアップしていきます。</t>
        </is>
      </c>
    </row>
    <row r="7" ht="23.25" customHeight="1" s="135">
      <c r="A7" s="4" t="inlineStr">
        <is>
          <t>録画リンク：</t>
        </is>
      </c>
      <c r="B7" s="152" t="inlineStr"/>
      <c r="C7" s="74" t="n"/>
      <c r="D7" s="75" t="n"/>
      <c r="E7" s="2" t="n"/>
      <c r="F7" s="5" t="inlineStr">
        <is>
          <t>言語力</t>
        </is>
      </c>
      <c r="G7" s="6" t="n"/>
      <c r="H7" s="158">
        <f>SUM(H162:H172)/11*100</f>
        <v/>
      </c>
      <c r="I7" s="13" t="inlineStr">
        <is>
          <t>もし契約するとなったら、弊社の専任の担当者が付いて架電していただく形ですか？</t>
        </is>
      </c>
      <c r="J7" s="71" t="inlineStr">
        <is>
          <t>専任というよりは、一人の担当者が何社か持つ形になりますが、1000件であれば1ヶ月＋1週間で消化できる数なので、1人か2人くらいで対応します。</t>
        </is>
      </c>
    </row>
    <row r="8" ht="23.25" customHeight="1" s="135">
      <c r="A8" s="4" t="inlineStr">
        <is>
          <t>商談トーク台本リンク：</t>
        </is>
      </c>
      <c r="B8" s="124" t="inlineStr"/>
      <c r="C8" s="74" t="n"/>
      <c r="D8" s="75" t="n"/>
      <c r="E8" s="2" t="n"/>
      <c r="F8" s="5" t="n"/>
      <c r="G8" s="6" t="n"/>
      <c r="H8" s="158" t="n"/>
      <c r="I8" s="13" t="inlineStr">
        <is>
          <t>過去に契約期間内に目標架電数が届かず、期間を伸ばした経験があるのですが、その点はどうでしょうか？</t>
        </is>
      </c>
      <c r="J8" s="71" t="inlineStr">
        <is>
          <t>弊社は日数契約ではないので、1000件預かったら1000件完了するまで対応します。1000件は1ヶ月＋1週間で完結できる数と見込んでいます。</t>
        </is>
      </c>
    </row>
    <row r="9" ht="23.25" customHeight="1" s="135">
      <c r="A9" s="17" t="inlineStr">
        <is>
          <t>営業資料リンク：</t>
        </is>
      </c>
      <c r="B9" s="129" t="inlineStr"/>
      <c r="C9" s="74" t="n"/>
      <c r="D9" s="75" t="n"/>
      <c r="E9" s="2" t="n"/>
      <c r="F9" s="5" t="n"/>
      <c r="G9" s="6" t="n"/>
      <c r="H9" s="158" t="n"/>
      <c r="I9" s="13" t="n"/>
      <c r="J9" s="71" t="n"/>
    </row>
    <row r="10" ht="25.5" customHeight="1" s="135">
      <c r="A10" s="18" t="inlineStr">
        <is>
          <t>総合数値</t>
        </is>
      </c>
      <c r="B10" s="160">
        <f>SUM(B11:D15)/500*100</f>
        <v/>
      </c>
      <c r="C10" s="74" t="n"/>
      <c r="D10" s="75" t="n"/>
      <c r="E10" s="2" t="n"/>
      <c r="F10" s="5" t="n"/>
      <c r="G10" s="6" t="n"/>
      <c r="H10" s="158" t="n"/>
      <c r="I10" s="13" t="n"/>
      <c r="J10" s="71" t="n"/>
    </row>
    <row r="11" ht="13" customHeight="1" s="135">
      <c r="A11" s="19" t="inlineStr">
        <is>
          <t>商談前ＩＳ</t>
        </is>
      </c>
      <c r="B11" s="161">
        <f>H2</f>
        <v/>
      </c>
      <c r="C11" s="74" t="n"/>
      <c r="D11" s="75" t="n"/>
      <c r="E11" s="2" t="n"/>
      <c r="F11" s="3" t="n"/>
      <c r="G11" s="6" t="n"/>
      <c r="H11" s="158" t="n"/>
      <c r="I11" s="13" t="n"/>
      <c r="J11" s="13" t="n"/>
    </row>
    <row r="12" ht="13" customHeight="1" s="135">
      <c r="A12" s="20" t="inlineStr">
        <is>
          <t>商談態勢</t>
        </is>
      </c>
      <c r="B12" s="162">
        <f>H3</f>
        <v/>
      </c>
      <c r="C12" s="74" t="n"/>
      <c r="D12" s="75" t="n"/>
      <c r="E12" s="2" t="n"/>
      <c r="F12" s="21" t="n"/>
      <c r="G12" s="6" t="n"/>
      <c r="H12" s="158" t="n"/>
      <c r="I12" s="13" t="n"/>
      <c r="J12" s="13" t="n"/>
    </row>
    <row r="13" ht="13" customHeight="1" s="135">
      <c r="A13" s="22" t="inlineStr">
        <is>
          <t>営業人間力</t>
        </is>
      </c>
      <c r="B13" s="162">
        <f>H4</f>
        <v/>
      </c>
      <c r="C13" s="74" t="n"/>
      <c r="D13" s="75" t="n"/>
      <c r="E13" s="6" t="n"/>
      <c r="F13" s="14" t="n"/>
      <c r="G13" s="15" t="n"/>
      <c r="H13" s="15" t="n"/>
      <c r="I13" s="13" t="n"/>
      <c r="J13" s="13" t="n"/>
    </row>
    <row r="14" ht="13" customHeight="1" s="135">
      <c r="A14" s="23" t="inlineStr">
        <is>
          <t>商談対応力</t>
        </is>
      </c>
      <c r="B14" s="162">
        <f>H6</f>
        <v/>
      </c>
      <c r="C14" s="74" t="n"/>
      <c r="D14" s="75" t="n"/>
      <c r="E14" s="6" t="n"/>
      <c r="F14" s="14" t="n"/>
      <c r="G14" s="15" t="n"/>
      <c r="H14" s="15" t="n"/>
      <c r="I14" s="13" t="n"/>
      <c r="J14" s="13" t="n"/>
    </row>
    <row r="15" ht="13" customHeight="1" s="135">
      <c r="A15" s="24" t="inlineStr">
        <is>
          <t>商談後フォロー</t>
        </is>
      </c>
      <c r="B15" s="161">
        <f>H7</f>
        <v/>
      </c>
      <c r="C15" s="74" t="n"/>
      <c r="D15" s="75" t="n"/>
      <c r="E15" s="6" t="n"/>
      <c r="F15" s="14" t="n"/>
      <c r="G15" s="15" t="n"/>
      <c r="H15" s="15" t="n"/>
      <c r="I15" s="13" t="n"/>
      <c r="J15" s="13" t="n"/>
    </row>
    <row r="16" ht="13" customHeight="1" s="135">
      <c r="A16" s="102" t="inlineStr">
        <is>
          <t>■商談画像スクリーンショット</t>
        </is>
      </c>
      <c r="B16" s="74" t="n"/>
      <c r="C16" s="74" t="n"/>
      <c r="D16" s="75" t="n"/>
      <c r="E16" s="25" t="n"/>
      <c r="F16" s="14" t="n"/>
      <c r="G16" s="26" t="n"/>
      <c r="H16" s="15" t="n"/>
      <c r="I16" s="27" t="n"/>
      <c r="J16" s="27" t="n"/>
    </row>
    <row r="17" ht="14" customHeight="1" s="135">
      <c r="A17" s="137" t="n"/>
      <c r="B17" s="138" t="n"/>
      <c r="C17" s="138" t="n"/>
      <c r="D17" s="139" t="n"/>
      <c r="E17" s="28" t="n"/>
      <c r="F17" s="14" t="n"/>
      <c r="G17" s="26" t="n"/>
      <c r="H17" s="15" t="n"/>
      <c r="I17" s="29" t="inlineStr">
        <is>
          <t>先方→弊社質問内容</t>
        </is>
      </c>
      <c r="J17" s="30" t="inlineStr">
        <is>
          <t>回答</t>
        </is>
      </c>
    </row>
    <row r="18" ht="17.25" customHeight="1" s="135">
      <c r="A18" s="97" t="n"/>
      <c r="D18" s="140" t="n"/>
      <c r="E18" s="28" t="n"/>
      <c r="F18" s="14" t="n"/>
      <c r="G18" s="26" t="n"/>
      <c r="H18" s="15" t="n"/>
      <c r="I18" s="11" t="inlineStr">
        <is>
          <t>（Locareが）持っているリストは情報の鮮度が担保できていないとのことですが、リストも準備していただく選択肢もあるのでしょうか？</t>
        </is>
      </c>
      <c r="J18" s="70" t="inlineStr">
        <is>
          <t>はい、リストは有償で提供可能です。業種、資本金、売上、エリアなどによって単価が変わります。ボリュームディスカウントもあるので、具体的に件数を教えていただければ見積もりを出せます。</t>
        </is>
      </c>
    </row>
    <row r="19" ht="17.25" customHeight="1" s="135">
      <c r="A19" s="97" t="n"/>
      <c r="D19" s="140" t="n"/>
      <c r="E19" s="28" t="n"/>
      <c r="F19" s="14" t="inlineStr">
        <is>
          <t>型の徹底度</t>
        </is>
      </c>
      <c r="G19" s="26" t="n"/>
      <c r="H19" s="15" t="n"/>
      <c r="I19" s="13" t="inlineStr">
        <is>
          <t>そのリストは外注されるのですか？</t>
        </is>
      </c>
      <c r="J19" s="71" t="inlineStr">
        <is>
          <t>いや、弊社の標準的なリストから抽出するイメージになります。</t>
        </is>
      </c>
    </row>
    <row r="20" ht="17.25" customHeight="1" s="135">
      <c r="A20" s="97" t="n"/>
      <c r="D20" s="140" t="n"/>
      <c r="E20" s="28" t="n"/>
      <c r="F20" s="14" t="inlineStr">
        <is>
          <t>資料活用レベル</t>
        </is>
      </c>
      <c r="G20" s="6" t="n"/>
      <c r="H20" s="158">
        <f>SUM(H130:H134)/5*100</f>
        <v/>
      </c>
      <c r="I20" s="13" t="inlineStr">
        <is>
          <t>（Locareが）本社内でもプロパーが営業で電話をされているのですか？</t>
        </is>
      </c>
      <c r="J20" s="13" t="inlineStr">
        <is>
          <t>ママさんワーカーが5名在籍していますが、マンパワーとしては5人で1人分くらいです。月間アポ率は3～6%で、月20件くらいです。</t>
        </is>
      </c>
    </row>
    <row r="21" ht="13" customHeight="1" s="135">
      <c r="A21" s="97" t="n"/>
      <c r="D21" s="140" t="n"/>
      <c r="E21" s="28" t="n"/>
      <c r="F21" s="14" t="inlineStr">
        <is>
          <t>トーク完コピレベル</t>
        </is>
      </c>
      <c r="G21" s="6" t="n"/>
      <c r="H21" s="158">
        <f>SUM(H135:H139)/5*100</f>
        <v/>
      </c>
      <c r="I21" s="13" t="inlineStr">
        <is>
          <t>どのくらいからスタートする予定でお話されていますか？</t>
        </is>
      </c>
      <c r="J21" s="13" t="inlineStr">
        <is>
          <t>年内には契約し、来年1月か2月くらいから実際に運用を開始したいと考えています。</t>
        </is>
      </c>
    </row>
    <row r="22" ht="13" customHeight="1" s="135">
      <c r="A22" s="97" t="n"/>
      <c r="D22" s="140" t="n"/>
      <c r="E22" s="28" t="n"/>
      <c r="F22" s="14" t="inlineStr">
        <is>
          <t>虎の巻 事前準備アクション徹底</t>
        </is>
      </c>
      <c r="G22" s="6" t="n"/>
      <c r="H22" s="158">
        <f>SUM(H140:H152)/13*100</f>
        <v/>
      </c>
      <c r="I22" s="13" t="n"/>
      <c r="J22" s="13" t="n"/>
    </row>
    <row r="23" ht="13" customHeight="1" s="135">
      <c r="A23" s="97" t="n"/>
      <c r="D23" s="140" t="n"/>
      <c r="E23" s="28" t="n"/>
      <c r="F23" s="14" t="inlineStr">
        <is>
          <t>虎の巻 課題解決徹底</t>
        </is>
      </c>
      <c r="G23" s="6" t="n"/>
      <c r="H23" s="158">
        <f>SUM(H153:H160)/8*100</f>
        <v/>
      </c>
      <c r="I23" s="13" t="n"/>
      <c r="J23" s="13" t="n"/>
    </row>
    <row r="24" ht="13" customHeight="1" s="135">
      <c r="A24" s="97" t="n"/>
      <c r="D24" s="140" t="n"/>
      <c r="E24" s="28" t="n"/>
      <c r="F24" s="14" t="inlineStr">
        <is>
          <t>虎の巻 テクニック徹底</t>
        </is>
      </c>
      <c r="G24" s="6" t="n"/>
      <c r="H24" s="158" t="n"/>
      <c r="I24" s="13" t="n"/>
      <c r="J24" s="13" t="n"/>
    </row>
    <row r="25" ht="13" customHeight="1" s="135">
      <c r="A25" s="97" t="n"/>
      <c r="D25" s="140" t="n"/>
      <c r="E25" s="28" t="n"/>
      <c r="F25" s="14" t="n"/>
      <c r="G25" s="26" t="n"/>
      <c r="H25" s="72" t="inlineStr">
        <is>
          <t>冒頭</t>
        </is>
      </c>
      <c r="I25" s="13" t="n"/>
      <c r="J25" s="13" t="n"/>
    </row>
    <row r="26" ht="13" customHeight="1" s="135">
      <c r="A26" s="97" t="n"/>
      <c r="D26" s="140" t="n"/>
      <c r="E26" s="25" t="n"/>
      <c r="F26" s="14" t="n"/>
      <c r="G26" s="26" t="n"/>
      <c r="H26" s="72" t="inlineStr">
        <is>
          <t>質問</t>
        </is>
      </c>
      <c r="I26" s="13" t="n"/>
      <c r="J26" s="13" t="n"/>
    </row>
    <row r="27" ht="13" customHeight="1" s="135">
      <c r="A27" s="97" t="n"/>
      <c r="D27" s="140" t="n"/>
      <c r="E27" s="25" t="n"/>
      <c r="F27" s="14" t="n"/>
      <c r="G27" s="26" t="n"/>
      <c r="H27" s="72" t="inlineStr">
        <is>
          <t>サービス説明</t>
        </is>
      </c>
      <c r="I27" s="13" t="n"/>
      <c r="J27" s="13" t="n"/>
    </row>
    <row r="28" ht="13" customHeight="1" s="135">
      <c r="A28" s="97" t="n"/>
      <c r="D28" s="140" t="n"/>
      <c r="E28" s="25" t="n"/>
      <c r="F28" s="14" t="n"/>
      <c r="G28" s="26" t="n"/>
      <c r="H28" s="72" t="inlineStr">
        <is>
          <t>クロージング</t>
        </is>
      </c>
      <c r="I28" s="13" t="n"/>
      <c r="J28" s="13" t="n"/>
    </row>
    <row r="29" ht="13" customHeight="1" s="135">
      <c r="A29" s="97" t="n"/>
      <c r="D29" s="140" t="n"/>
      <c r="E29" s="25" t="n"/>
      <c r="F29" s="14" t="n"/>
      <c r="G29" s="26" t="n"/>
      <c r="H29" s="15" t="n"/>
      <c r="I29" s="13" t="n"/>
      <c r="J29" s="13" t="n"/>
    </row>
    <row r="30" ht="13" customHeight="1" s="135">
      <c r="A30" s="97" t="n"/>
      <c r="D30" s="140" t="n"/>
      <c r="E30" s="25" t="n"/>
      <c r="F30" s="14" t="n"/>
      <c r="G30" s="26" t="n"/>
      <c r="H30" s="15" t="n"/>
      <c r="I30" s="13" t="n"/>
      <c r="J30" s="13" t="n"/>
    </row>
    <row r="31" ht="13" customHeight="1" s="135">
      <c r="A31" s="141" t="n"/>
      <c r="B31" s="112" t="n"/>
      <c r="C31" s="112" t="n"/>
      <c r="D31" s="113" t="n"/>
      <c r="E31" s="25" t="n"/>
      <c r="F31" s="14" t="n"/>
      <c r="G31" s="26" t="n"/>
      <c r="H31" s="15" t="n"/>
      <c r="I31" s="27" t="n"/>
      <c r="J31" s="27" t="n"/>
    </row>
    <row r="32" ht="13" customHeight="1" s="135">
      <c r="A32" s="31" t="n"/>
      <c r="B32" s="32" t="n"/>
      <c r="C32" s="32" t="n"/>
      <c r="D32" s="32" t="n"/>
      <c r="E32" s="28" t="n"/>
      <c r="F32" s="14" t="n"/>
      <c r="G32" s="33" t="n"/>
      <c r="H32" s="15" t="n"/>
      <c r="I32" s="15" t="n"/>
    </row>
    <row r="33" ht="23" customHeight="1" s="135">
      <c r="A33" s="93" t="inlineStr">
        <is>
          <t>【AIを用いたHP情報整理】</t>
        </is>
      </c>
      <c r="B33" s="94" t="n"/>
      <c r="C33" s="94" t="n"/>
      <c r="D33" s="94" t="n"/>
      <c r="E33" s="95" t="n"/>
      <c r="F33" s="93" t="inlineStr">
        <is>
          <t>【商談での情報整理】</t>
        </is>
      </c>
      <c r="G33" s="94" t="n"/>
      <c r="H33" s="94" t="n"/>
      <c r="I33" s="94" t="n"/>
      <c r="J33" s="95" t="n"/>
    </row>
    <row r="34" ht="13" customHeight="1" s="135">
      <c r="A34" s="99" t="inlineStr">
        <is>
          <t>項目</t>
        </is>
      </c>
      <c r="B34" s="100" t="n"/>
      <c r="C34" s="103" t="inlineStr">
        <is>
          <t>内容</t>
        </is>
      </c>
      <c r="D34" s="104" t="n"/>
      <c r="E34" s="105" t="n"/>
      <c r="F34" s="125" t="inlineStr">
        <is>
          <t>項目</t>
        </is>
      </c>
      <c r="G34" s="126" t="n"/>
      <c r="H34" s="142" t="inlineStr">
        <is>
          <t>内容</t>
        </is>
      </c>
      <c r="I34" s="143" t="n"/>
      <c r="J34" s="144" t="n"/>
    </row>
    <row r="35" ht="13" customHeight="1" s="135">
      <c r="A35" s="106" t="inlineStr">
        <is>
          <t>サービス概要</t>
        </is>
      </c>
      <c r="B35" s="107" t="n"/>
      <c r="C35" s="114" t="inlineStr">
        <is>
          <t>新規開拓営業、顧客営業、展示会営業、テレアポ業務など、営業活動全般の外部委託サービス。特に中小企業の法人新規開拓に特化。リテンション営業代行、ルートセールス、飛び込み営業、ラウンダー、大阪の営業所代行、コンサルティングも提供。</t>
        </is>
      </c>
      <c r="D35" s="115" t="n"/>
      <c r="E35" s="110" t="n"/>
      <c r="F35" s="106" t="inlineStr">
        <is>
          <t>サービス概要</t>
        </is>
      </c>
      <c r="G35" s="107" t="n"/>
      <c r="H35" s="34" t="inlineStr">
        <is>
          <t>顧問（エグゼクティブOB）を活用し、商談獲得をはじめとする企業の経営課題を解決するサービス 。顧問の経験・知見と、Saleshubが持つ5万人超のサポーターネットワークを組み合わせて活用できる 。</t>
        </is>
      </c>
      <c r="I35" s="109" t="inlineStr">
        <is>
          <t>顧問（エグゼクティブOB）を活用し、商談獲得をはじめとする企業の経営課題を解決するサービス 。顧問の経験・知見と、Saleshubが持つ5万人超のサポーターネットワークを組み合わせて活用できる 。</t>
        </is>
      </c>
      <c r="J35" s="110" t="n"/>
    </row>
    <row r="36" ht="13" customHeight="1" s="135">
      <c r="A36" s="89" t="inlineStr">
        <is>
          <t>サービスのビジネスモデル</t>
        </is>
      </c>
      <c r="B36" s="90" t="n"/>
      <c r="C36" s="77" t="inlineStr">
        <is>
          <t>1日単位での利用が可能な業務委託型の営業代行サービス。月単位の契約縛りなし。30代～50代の経験豊富な営業エージェント（上場大手出身者、管理職経験者など）が、アポ取得からクロージングまで一貫して代行。偽装請負を避けるため、発注者からの直接的な指揮命令は不可。成果報酬はなく、先入金制。</t>
        </is>
      </c>
      <c r="D36" s="78" t="n"/>
      <c r="E36" s="79" t="n"/>
      <c r="F36" s="89" t="inlineStr">
        <is>
          <t>サービスのビジネスモデル</t>
        </is>
      </c>
      <c r="G36" s="90" t="n"/>
      <c r="H36" s="35" t="inlineStr">
        <is>
          <t>経験豊富な顧問（元役員クラス）と、課題を持つ企業をマッチング 。顧問は戦略立案や商談同行（同席）等のサポートを実施し、アポイント獲得は主に5万人以上のサポーターネットワークが担う 。</t>
        </is>
      </c>
      <c r="I36" s="98" t="inlineStr">
        <is>
          <t>経験豊富な顧問（元役員クラス）と、課題を持つ企業をマッチング 。顧問は戦略立案や商談同行（同席）等のサポートを実施し、アポイント獲得は主に5万人以上のサポーターネットワークが担う 。</t>
        </is>
      </c>
      <c r="J36" s="79" t="n"/>
    </row>
    <row r="37" ht="13" customHeight="1" s="135">
      <c r="A37" s="89" t="inlineStr">
        <is>
          <t>サービスの強み</t>
        </is>
      </c>
      <c r="B37" s="90" t="n"/>
      <c r="C37" s="77" t="inlineStr">
        <is>
          <t>1日単位での利用が可能で、予算に合わせた柔軟な営業展開ができる。上場大手企業出身者や管理職経験者など、30代～50代の経験豊富な営業エージェントが多数在籍。アポイント取得からクロージングまで一貫して対応可能。東京、大阪、名古屋、福岡などの主要都市に加え、地方都市での営業活動も可能。コンプライアンスと守秘義務を徹底し、偽装請負のリスクがない。営業マンの採用・育成コストや手間を削減し、突然の退職リスクもない。税金や福利厚生の負担も抑えられる。</t>
        </is>
      </c>
      <c r="D37" s="78" t="n"/>
      <c r="E37" s="79" t="n"/>
      <c r="F37" s="89" t="inlineStr">
        <is>
          <t>サービスの強み</t>
        </is>
      </c>
      <c r="G37" s="90" t="n"/>
      <c r="H37" s="35" t="inlineStr">
        <is>
          <t>* 低価格: 業界平均の半額以下の価格で顧問活用が可能 。* 成果報酬: アポイント獲得に対して成果報酬が発生する明瞭な料金体系 。* 柔軟な契約: 契約期間の縛りがなく、月額更新でいつでも解約可能（違約金なし）。* 人脈の枯渇回避: 顧問自身のネットワークだけでなく、5万人超のSaleshubネットワークを併用できる 。</t>
        </is>
      </c>
      <c r="I37" s="98" t="inlineStr">
        <is>
          <t>* 低価格: 業界平均の半額以下の価格で顧問活用が可能 。* 成果報酬: アポイント獲得に対して成果報酬が発生する明瞭な料金体系 。* 柔軟な契約: 契約期間の縛りがなく、月額更新でいつでも解約可能（違約金なし）。* 人脈の枯渇回避: 顧問自身のネットワークだけでなく、5万人超のSaleshubネットワークを併用できる 。</t>
        </is>
      </c>
      <c r="J37" s="79" t="n"/>
    </row>
    <row r="38" ht="13" customHeight="1" s="135">
      <c r="A38" s="89" t="inlineStr">
        <is>
          <t>他社との違い</t>
        </is>
      </c>
      <c r="B38" s="90" t="n"/>
      <c r="C38" s="77" t="inlineStr">
        <is>
          <t>「1日単位」での利用が可能で、月単位の契約縛りがない点が特徴。営業マンの採用・育成にかかるコストや手間、退職リスクを排除できる。経験豊富な営業エージェントが多数在籍し、プロジェクトや地域（主要都市・地方都市）の商習慣に合わせて柔軟な対応が可能。</t>
        </is>
      </c>
      <c r="D38" s="78" t="n"/>
      <c r="E38" s="79" t="n"/>
      <c r="F38" s="89" t="inlineStr">
        <is>
          <t>他社との違い</t>
        </is>
      </c>
      <c r="G38" s="90" t="n"/>
      <c r="H38" s="35" t="inlineStr">
        <is>
          <t>一般的な顧問サービスは月額固定費用が高額で、アポ獲得の有無に関わらず費用が発生するが 、エキスパートハブは低額の固定費に抑え、アポイント獲得ごとに成果報酬を支払うシステム 。また、独自システム（特許取得済み）により公平性の高い支払い体系（企業規模・役職に応じたアポ単価）を実現している 。</t>
        </is>
      </c>
      <c r="I38" s="98" t="inlineStr">
        <is>
          <t>一般的な顧問サービスは月額固定費用が高額で、アポ獲得の有無に関わらず費用が発生するが 、エキスパートハブは低額の固定費に抑え、アポイント獲得ごとに成果報酬を支払うシステム 。また、独自システム（特許取得済み）により公平性の高い支払い体系（企業規模・役職に応じたアポ単価）を実現している 。</t>
        </is>
      </c>
      <c r="J38" s="79" t="n"/>
    </row>
    <row r="39" ht="13" customHeight="1" s="135">
      <c r="A39" s="89" t="inlineStr">
        <is>
          <t>料金プラン・料金形態</t>
        </is>
      </c>
      <c r="B39" s="90" t="n"/>
      <c r="C39" s="77" t="inlineStr">
        <is>
          <t>新規開拓営業: 1日35,200円～、リテンション営業代行: 1日33,000円～、ルートセールス: 1日33,000円～、飛び込み営業: 1日29,700円～、ラウンダー: 1日29,700円～。テレアポ代行は初期費用33,000円（税込）で1件あたり385円（税込）。再コールは最大2回まで。大阪の営業所代行は1人/月660,000円。コンサルティングは別途見積もり。</t>
        </is>
      </c>
      <c r="D39" s="78" t="n"/>
      <c r="E39" s="79" t="n"/>
      <c r="F39" s="89" t="inlineStr">
        <is>
          <t>料金プラン・料金形態</t>
        </is>
      </c>
      <c r="G39" s="90" t="n"/>
      <c r="H39" s="35" t="inlineStr">
        <is>
          <t>月額料金: ¥150,000～（税別）成果報酬: サポーターからの商談獲得1件ごと（企業規模・役職に応じて変動）</t>
        </is>
      </c>
      <c r="I39" s="98" t="inlineStr">
        <is>
          <t>月額料金: ¥150,000～（税別）成果報酬: サポーターからの商談獲得1件ごと（企業規模・役職に応じて変動）</t>
        </is>
      </c>
      <c r="J39" s="79" t="n"/>
    </row>
    <row r="40" ht="13" customHeight="1" s="135">
      <c r="A40" s="89" t="inlineStr">
        <is>
          <t>初期費用有無</t>
        </is>
      </c>
      <c r="B40" s="90" t="n"/>
      <c r="C40" s="77" t="inlineStr">
        <is>
          <t>テレアポ代行の場合、初期費用として33,000円（税込）が発生。その他のサービスについてはHP上では「初期費用不要」と記載があるが、資料と商談ではテレアポに初期費用がある旨説明された。</t>
        </is>
      </c>
      <c r="D40" s="78" t="n"/>
      <c r="E40" s="79" t="n"/>
      <c r="F40" s="89" t="inlineStr">
        <is>
          <t>初期費用有無</t>
        </is>
      </c>
      <c r="G40" s="90" t="n"/>
      <c r="H40" s="35" t="inlineStr">
        <is>
          <t>有り 。 初期セットアップ料金：¥500,000（税別）。</t>
        </is>
      </c>
      <c r="I40" s="98" t="inlineStr">
        <is>
          <t>有り 。 初期セットアップ料金：¥500,000（税別）。</t>
        </is>
      </c>
      <c r="J40" s="79" t="n"/>
    </row>
    <row r="41" ht="13" customHeight="1" s="135">
      <c r="A41" s="89" t="inlineStr">
        <is>
          <t>最低料金</t>
        </is>
      </c>
      <c r="B41" s="90" t="n"/>
      <c r="C41" s="77" t="inlineStr">
        <is>
          <t>テレアポ代行は1件385円（税込）から。その他のサービスは1日単位での契約が可能で、新規開拓営業は1日35,200円（税込）から。</t>
        </is>
      </c>
      <c r="D41" s="78" t="n"/>
      <c r="E41" s="79" t="n"/>
      <c r="F41" s="89" t="inlineStr">
        <is>
          <t>最低料金</t>
        </is>
      </c>
      <c r="G41" s="90" t="n"/>
      <c r="H41" s="35" t="inlineStr">
        <is>
          <t>月額 ¥150,000（税別）。</t>
        </is>
      </c>
      <c r="I41" s="98" t="inlineStr">
        <is>
          <t>月額 ¥150,000（税別）。</t>
        </is>
      </c>
      <c r="J41" s="79" t="n"/>
    </row>
    <row r="42" ht="13" customHeight="1" s="135">
      <c r="A42" s="89" t="inlineStr">
        <is>
          <t>最短契約期間</t>
        </is>
      </c>
      <c r="B42" s="90" t="n"/>
      <c r="C42" s="77" t="inlineStr">
        <is>
          <t>1日単位での利用が可能。</t>
        </is>
      </c>
      <c r="D42" s="78" t="n"/>
      <c r="E42" s="79" t="n"/>
      <c r="F42" s="89" t="inlineStr">
        <is>
          <t>最短契約期間</t>
        </is>
      </c>
      <c r="G42" s="90" t="n"/>
      <c r="H42" s="35" t="inlineStr">
        <is>
          <t>制限なし。 月額での契約更新となり、違約金なしで前月申告によりいつでも解約が可能。</t>
        </is>
      </c>
      <c r="I42" s="98" t="inlineStr">
        <is>
          <t>制限なし。 月額での契約更新となり、違約金なしで前月申告によりいつでも解約が可能。</t>
        </is>
      </c>
      <c r="J42" s="79" t="n"/>
    </row>
    <row r="43" ht="13" customHeight="1" s="135">
      <c r="A43" s="89" t="inlineStr">
        <is>
          <t>競合企業、類似サービス</t>
        </is>
      </c>
      <c r="B43" s="90" t="n"/>
      <c r="C43" s="77" t="inlineStr">
        <is>
          <t>記載なし</t>
        </is>
      </c>
      <c r="D43" s="78" t="n"/>
      <c r="E43" s="79" t="n"/>
      <c r="F43" s="89" t="inlineStr">
        <is>
          <t>競合企業、類似サービス</t>
        </is>
      </c>
      <c r="G43" s="90" t="n"/>
      <c r="H43" s="35" t="inlineStr">
        <is>
          <t>一般的な顧問サービス 、および動画内では「ビジネスタンク」などの名称も挙がっている。</t>
        </is>
      </c>
      <c r="I43" s="98" t="inlineStr">
        <is>
          <t>一般的な顧問サービス 、「ビジネスタンク」などの名称も挙がっている。</t>
        </is>
      </c>
      <c r="J43" s="79" t="n"/>
    </row>
    <row r="44" ht="13" customHeight="1" s="135">
      <c r="A44" s="89" t="inlineStr">
        <is>
          <t>顧問、会員登録人数</t>
        </is>
      </c>
      <c r="B44" s="90" t="n"/>
      <c r="C44" s="77" t="inlineStr">
        <is>
          <t>グループ全体で約100名の営業エージェントが在籍（30代～50代の男女、東京、大阪、名古屋中心）。</t>
        </is>
      </c>
      <c r="D44" s="78" t="n"/>
      <c r="E44" s="79" t="n"/>
      <c r="F44" s="89" t="inlineStr">
        <is>
          <t>顧問、会員登録人数</t>
        </is>
      </c>
      <c r="G44" s="90" t="n"/>
      <c r="H44" s="35" t="inlineStr">
        <is>
          <t>登録顧問の例: KDDI元取締役、明治安田生命元取締役、オリックス元取締役、キヤノン元本部長、リクルート元営業部長、JTB元企画部長など、上場企業の役員・管理職経験者が多数参画 。会員登録人数: 顧客紹介サービス「Saleshub」のネットワークとして、全国に5万人以上のビジネスパーソンが登録 。</t>
        </is>
      </c>
      <c r="I44" s="98" t="inlineStr">
        <is>
          <t>登録顧問の例: KDDI元取締役、明治安田生命元取締役、オリックス元取締役、キヤノン元本部長、リクルート元営業部長、JTB元企画部長など、上場企業の役員・管理職経験者が多数参画 。会員登録人数: 顧客紹介サービス「Saleshub」のネットワークとして、全国に5万人以上のビジネスパーソンが登録 。</t>
        </is>
      </c>
      <c r="J44" s="79" t="n"/>
    </row>
    <row r="45" ht="13" customHeight="1" s="135">
      <c r="A45" s="89" t="inlineStr">
        <is>
          <t>依頼業務内容</t>
        </is>
      </c>
      <c r="B45" s="90" t="n"/>
      <c r="C45" s="77" t="inlineStr">
        <is>
          <t>新規開拓営業、顧客営業、展示会営業、テレアポ業務、リテンション営業代行、ルートセールス、飛び込み営業、ラウンダー、大阪の営業所代行、コンサルティング。</t>
        </is>
      </c>
      <c r="D45" s="78" t="n"/>
      <c r="E45" s="79" t="n"/>
      <c r="F45" s="89" t="inlineStr">
        <is>
          <t>依頼業務内容</t>
        </is>
      </c>
      <c r="G45" s="90" t="n"/>
      <c r="H45" s="35" t="inlineStr">
        <is>
          <t>営業ニーズ以外にも幅広く対応 。新規販路開拓 、既存顧客深耕 、営業組織強化 、新卒/中途採用 、商品開発 、資金調達 、店舗開発 など 。</t>
        </is>
      </c>
      <c r="I45" s="98" t="inlineStr">
        <is>
          <t>営業ニーズ以外にも幅広く対応 。新規販路開拓 、既存顧客深耕 、営業組織強化 、新卒/中途採用 、商品開発 、資金調達 、店舗開発 など 。</t>
        </is>
      </c>
      <c r="J45" s="79" t="n"/>
    </row>
    <row r="46" ht="13" customHeight="1" s="135">
      <c r="A46" s="130" t="inlineStr">
        <is>
          <t>導入実績</t>
        </is>
      </c>
      <c r="B46" s="131" t="n"/>
      <c r="C46" s="127" t="inlineStr">
        <is>
          <t>グループ全体で200社以上の受託実績があり、平均受託年数は約2年、リピート利用率は5%。携帯電話代理店、OEM製造会社、外国人派遣、浄水器メーカー、ソフト開発会社、飲食店舗、リフォーム会社、企業向け宅配弁当業、小口配送業、学習塾、クリニック・医院向け精算レジ、警備会社、衛生関連サービス、農業用商材、イベント会社、オンライン企業英会話、移動販売（飲食）、ノベルティ、流通加工業、新電力関連事業、原状回復業、不動産ソフトウエア、光触媒、相続関連サービス、福祉事業、生活雑貨輸入業者、ポスティング業者、アウトソーシングサービス業、動画配信プロデュース業、不動産業、衛生用品メーカー、家電量販店、法人向けポータルサイト、訪問マッサージ、有料老人ホーム、公益財団法人、玩具メーカー、サブリース会社、システム開発会社、大手飲料メーカー、デイサービス、中古車会社、介護老人保健施設、眼鏡量販店、訪問歯科院、マーケティング会社、飲食サービス業、デザイン会社、介護事業所、家電メーカー、通信会社、訪問薬局、CSRサービス、訪問介護、お弁当販売所、老人向けサービス、グループホーム、自動販売機設置、特許事務所、ITサービス、大手加工食品メーカー、遊技場、外壁塗装業者、大手人材派遣業、食材販売会社、葬祭業、リサイクル業、ショートステイ、放課後等デイサービス、飲食業、加工食品メーカー、ウォーターサーバー、システム保守サービス、アプリ開発会社、金属加工工場、サービス付き高齢者住宅、福祉用具販売、運送業、店舗集客アプリ、通信工事事業者、出版会社、ノベルティ用品製造業、レンタル業、ITデバイス開発会社、建築業、旅行業、ヘアケア製品メーカー、木製家具メーカー、印刷業、輸入雑貨商社、アイデア雑貨メーカー、清掃業、化粧品メーカー、太陽光関連事業者、専門学校、在宅医療クリニック、決済端末設置、特殊清掃業、行政書士事務所、弁護士事務所、観光地土産店、老舗和菓子メーカー、和装小物製造業、美容用品販売業、健康用具など、100業種以上の実績がある。</t>
        </is>
      </c>
      <c r="D46" s="128" t="n"/>
      <c r="E46" s="123" t="n"/>
      <c r="F46" s="130" t="inlineStr">
        <is>
          <t>導入実績</t>
        </is>
      </c>
      <c r="G46" s="131" t="n"/>
      <c r="H46" s="36" t="inlineStr">
        <is>
          <t>* 外食産業への販路開拓（こんにゃく製造業）： すかいらーくグループ含む外食企業3社と年間¥6,000万円の取引が実現 。* 集客増加（お土産物小売）： JTB含む2社の代理店でツアーが決定し、年間¥8,000万円の売上増加 。* ヒット商品開発（製造業）： 初年度から製造業8社と年間¥1.6億円の取引が実現 。</t>
        </is>
      </c>
      <c r="I46" s="122" t="inlineStr">
        <is>
          <t>* 外食産業への販路開拓（こんにゃく製造業）： すかいらーくグループ含む外食企業3社と年間¥6,000万円の取引が実現 。* 集客増加（お土産物小売）： JTB含む2社の代理店でツアーが決定し、年間¥8,000万円の売上増加 。* ヒット商品開発（製造業）： 初年度から製造業8社と年間¥1.6億円の取引が実現 。</t>
        </is>
      </c>
      <c r="J46" s="123" t="n"/>
    </row>
    <row r="47" ht="13" customHeight="1" s="135">
      <c r="A47" s="37" t="n"/>
      <c r="B47" s="38" t="n"/>
      <c r="C47" s="39" t="n"/>
      <c r="D47" s="40" t="n"/>
      <c r="E47" s="33" t="n"/>
      <c r="F47" s="41" t="n"/>
      <c r="G47" s="33" t="n"/>
      <c r="H47" s="42" t="n"/>
      <c r="I47" s="42" t="n"/>
    </row>
    <row r="48" ht="13" customHeight="1" s="135">
      <c r="A48" s="116" t="inlineStr">
        <is>
          <t>【全体統括コメント】</t>
        </is>
      </c>
      <c r="B48" s="117" t="n"/>
      <c r="C48" s="117" t="n"/>
      <c r="D48" s="117" t="n"/>
      <c r="E48" s="117" t="n"/>
      <c r="F48" s="117" t="n"/>
      <c r="G48" s="117" t="n"/>
      <c r="H48" s="117" t="n"/>
      <c r="I48" s="117" t="n"/>
      <c r="J48" s="118" t="n"/>
    </row>
    <row r="49" ht="13" customHeight="1" s="135">
      <c r="A49" s="119" t="n"/>
      <c r="B49" s="120" t="n"/>
      <c r="C49" s="120" t="n"/>
      <c r="D49" s="120" t="n"/>
      <c r="E49" s="120" t="n"/>
      <c r="F49" s="120" t="n"/>
      <c r="G49" s="120" t="n"/>
      <c r="H49" s="120" t="n"/>
      <c r="I49" s="120" t="n"/>
      <c r="J49" s="121" t="n"/>
    </row>
    <row r="50" ht="12" customHeight="1" s="135">
      <c r="A50" s="133" t="inlineStr">
        <is>
          <t>営業担当者は丁寧な言葉遣いで、質問にも的確に回答してくれました。サービス内容や料金体系は明確に説明されましたが、資料と口頭説明で初期費用に一部齟齬があった点は、発注側としては確認が必要だと感じました。弊社の現状を深掘りする質問はあったものの、提案内容が弊社の具体的な課題に深く踏み込んだものではなく、汎用的な説明に留まった印象です。経験豊富な営業マンが架電するという点は魅力的に感じました。</t>
        </is>
      </c>
      <c r="B50" s="117" t="n"/>
      <c r="C50" s="117" t="n"/>
      <c r="D50" s="117" t="n"/>
      <c r="E50" s="117" t="n"/>
      <c r="F50" s="117" t="n"/>
      <c r="G50" s="117" t="n"/>
      <c r="H50" s="117" t="n"/>
      <c r="I50" s="117" t="n"/>
      <c r="J50" s="118" t="n"/>
    </row>
    <row r="51" ht="12" customHeight="1" s="135">
      <c r="A51" s="134" t="n"/>
      <c r="J51" s="136" t="n"/>
    </row>
    <row r="52" ht="12" customHeight="1" s="135">
      <c r="A52" s="134" t="n"/>
      <c r="J52" s="136" t="n"/>
    </row>
    <row r="53" ht="12" customHeight="1" s="135">
      <c r="A53" s="134" t="n"/>
      <c r="J53" s="136" t="n"/>
    </row>
    <row r="54" ht="12" customHeight="1" s="135">
      <c r="A54" s="134" t="n"/>
      <c r="J54" s="136" t="n"/>
    </row>
    <row r="55" ht="12" customHeight="1" s="135">
      <c r="A55" s="134" t="n"/>
      <c r="J55" s="136" t="n"/>
    </row>
    <row r="56" ht="12" customHeight="1" s="135">
      <c r="A56" s="134" t="n"/>
      <c r="J56" s="136" t="n"/>
    </row>
    <row r="57" ht="12" customHeight="1" s="135">
      <c r="A57" s="134" t="n"/>
      <c r="J57" s="136" t="n"/>
    </row>
    <row r="58" ht="12" customHeight="1" s="135">
      <c r="A58" s="134" t="n"/>
      <c r="J58" s="136" t="n"/>
    </row>
    <row r="59" ht="12" customHeight="1" s="135">
      <c r="A59" s="134" t="n"/>
      <c r="J59" s="136" t="n"/>
    </row>
    <row r="60" ht="12" customHeight="1" s="135">
      <c r="A60" s="134" t="n"/>
      <c r="J60" s="136" t="n"/>
    </row>
    <row r="61" ht="12" customHeight="1" s="135">
      <c r="A61" s="134" t="n"/>
      <c r="J61" s="136" t="n"/>
    </row>
    <row r="62" ht="12" customHeight="1" s="135">
      <c r="A62" s="134" t="n"/>
      <c r="J62" s="136" t="n"/>
    </row>
    <row r="63" ht="12" customHeight="1" s="135">
      <c r="A63" s="134" t="n"/>
      <c r="J63" s="136" t="n"/>
    </row>
    <row r="64" ht="12" customHeight="1" s="135">
      <c r="A64" s="134" t="n"/>
      <c r="J64" s="136" t="n"/>
    </row>
    <row r="65" ht="12" customHeight="1" s="135">
      <c r="A65" s="134" t="n"/>
      <c r="J65" s="136" t="n"/>
    </row>
    <row r="66" ht="12" customHeight="1" s="135">
      <c r="A66" s="134" t="n"/>
      <c r="J66" s="136" t="n"/>
    </row>
    <row r="67" ht="12" customHeight="1" s="135">
      <c r="A67" s="134" t="n"/>
      <c r="J67" s="136" t="n"/>
    </row>
    <row r="68" ht="12" customHeight="1" s="135">
      <c r="A68" s="119" t="n"/>
      <c r="B68" s="120" t="n"/>
      <c r="C68" s="120" t="n"/>
      <c r="D68" s="120" t="n"/>
      <c r="E68" s="120" t="n"/>
      <c r="F68" s="120" t="n"/>
      <c r="G68" s="120" t="n"/>
      <c r="H68" s="120" t="n"/>
      <c r="I68" s="120" t="n"/>
      <c r="J68" s="121" t="n"/>
    </row>
    <row r="69" ht="13" customHeight="1" s="135">
      <c r="A69" s="42" t="n"/>
      <c r="B69" s="38" t="n"/>
      <c r="C69" s="42" t="n"/>
      <c r="D69" s="41" t="n"/>
      <c r="E69" s="41" t="n"/>
      <c r="F69" s="41" t="n"/>
      <c r="G69" s="33" t="n"/>
      <c r="H69" s="42" t="n"/>
      <c r="I69" s="42" t="n"/>
      <c r="J69" s="42" t="n"/>
    </row>
    <row r="70" ht="13" customHeight="1" s="135">
      <c r="A70" s="43" t="inlineStr">
        <is>
          <t>項目</t>
        </is>
      </c>
      <c r="B70" s="44" t="inlineStr">
        <is>
          <t>チェックプロセス</t>
        </is>
      </c>
      <c r="C70" s="43" t="inlineStr">
        <is>
          <t>NO</t>
        </is>
      </c>
      <c r="D70" s="146" t="inlineStr">
        <is>
          <t>内容</t>
        </is>
      </c>
      <c r="E70" s="74" t="n"/>
      <c r="F70" s="75" t="n"/>
      <c r="G70" s="45" t="inlineStr">
        <is>
          <t xml:space="preserve"> 評価</t>
        </is>
      </c>
      <c r="H70" s="45" t="inlineStr">
        <is>
          <t>点数</t>
        </is>
      </c>
      <c r="I70" s="46" t="inlineStr">
        <is>
          <t>基準</t>
        </is>
      </c>
      <c r="J70" s="46" t="inlineStr">
        <is>
          <t>備考</t>
        </is>
      </c>
    </row>
    <row r="71" ht="22" customHeight="1" s="135">
      <c r="A71" s="111" t="inlineStr">
        <is>
          <t>商談前</t>
        </is>
      </c>
      <c r="B71" s="112" t="n"/>
      <c r="C71" s="112" t="n"/>
      <c r="D71" s="112" t="n"/>
      <c r="E71" s="112" t="n"/>
      <c r="F71" s="112" t="n"/>
      <c r="G71" s="112" t="n"/>
      <c r="H71" s="112" t="n"/>
      <c r="I71" s="112" t="n"/>
      <c r="J71" s="113" t="n"/>
    </row>
    <row r="72" ht="14" customHeight="1" s="135">
      <c r="A72" s="145" t="inlineStr">
        <is>
          <t>商談前
IS</t>
        </is>
      </c>
      <c r="B72" s="80" t="inlineStr">
        <is>
          <t>速度</t>
        </is>
      </c>
      <c r="C72" s="47" t="n">
        <v>1</v>
      </c>
      <c r="D72" s="76" t="inlineStr">
        <is>
          <t>HP問い合わせに対してのレスポンス速度</t>
        </is>
      </c>
      <c r="E72" s="74" t="n"/>
      <c r="F72" s="75" t="n"/>
      <c r="G72" s="48" t="n"/>
      <c r="H72" s="92">
        <f>IF(G72="〇", 1, IF(G72="△", 0.5, 0))</f>
        <v/>
      </c>
      <c r="I72" s="86" t="inlineStr">
        <is>
          <t>〇：6時間以内
△：24時間以内
✕：24時間以上</t>
        </is>
      </c>
      <c r="J72" s="51" t="inlineStr">
        <is>
          <t>24時間以上の場合は記載</t>
        </is>
      </c>
    </row>
    <row r="73" ht="14" customHeight="1" s="135">
      <c r="A73" s="81" t="n"/>
      <c r="B73" s="81" t="n"/>
      <c r="C73" s="47" t="n">
        <v>2</v>
      </c>
      <c r="D73" s="76" t="inlineStr">
        <is>
          <t>商談前段階における連絡の基本的な返信速度（平均）</t>
        </is>
      </c>
      <c r="E73" s="74" t="n"/>
      <c r="F73" s="75" t="n"/>
      <c r="G73" s="48" t="n"/>
      <c r="H73" s="92">
        <f>IF(G73="〇", 1, IF(G73="△", 0.5, 0))</f>
        <v/>
      </c>
      <c r="I73" s="86" t="inlineStr">
        <is>
          <t>〇：6時間以内
△：24時間以内
✕：24時間以上</t>
        </is>
      </c>
      <c r="J73" s="52" t="inlineStr">
        <is>
          <t>24時間以上の場合は記載</t>
        </is>
      </c>
    </row>
    <row r="74" ht="14" customHeight="1" s="135">
      <c r="A74" s="81" t="n"/>
      <c r="B74" s="82" t="n"/>
      <c r="C74" s="47" t="n">
        <v>3</v>
      </c>
      <c r="D74" s="76" t="inlineStr">
        <is>
          <t>メールでのラリー回数は少なく、スムーズに日程調整ができた。</t>
        </is>
      </c>
      <c r="E74" s="74" t="n"/>
      <c r="F74" s="75" t="n"/>
      <c r="G74" s="48" t="n"/>
      <c r="H74" s="92">
        <f>IF(G74="〇", 1, IF(G74="△", 0.5, 0))</f>
        <v/>
      </c>
      <c r="I74" s="86" t="inlineStr">
        <is>
          <t>〇：ラリー回数1~2
△：ラリー回数2~3
✕：3往復以上のラリー</t>
        </is>
      </c>
      <c r="J74" s="51" t="inlineStr">
        <is>
          <t>✕の具体的内容↓</t>
        </is>
      </c>
    </row>
    <row r="75" ht="13" customHeight="1" s="135">
      <c r="A75" s="81" t="n"/>
      <c r="B75" s="80" t="inlineStr">
        <is>
          <t>丁寧さ</t>
        </is>
      </c>
      <c r="C75" s="47" t="n">
        <v>4</v>
      </c>
      <c r="D75" s="76" t="inlineStr">
        <is>
          <t>問い合わせに対しての返信はテンプレートではなく自社に合わせた形での連絡だったか。</t>
        </is>
      </c>
      <c r="E75" s="74" t="n"/>
      <c r="F75" s="75" t="n"/>
      <c r="G75" s="48" t="n"/>
      <c r="H75" s="92">
        <f>IF(G75="〇", 1, IF(G75="△", 0.5, 0))</f>
        <v/>
      </c>
      <c r="I75" s="86" t="inlineStr">
        <is>
          <t>〇：自社に合わせた返信
✕：テンプレートと判断できる</t>
        </is>
      </c>
      <c r="J75" s="52" t="n"/>
    </row>
    <row r="76" ht="14" customHeight="1" s="135">
      <c r="A76" s="81" t="n"/>
      <c r="B76" s="81" t="n"/>
      <c r="C76" s="47" t="n">
        <v>5</v>
      </c>
      <c r="D76" s="76" t="inlineStr">
        <is>
          <t>メールの文面は言葉遣いが丁寧で、誤字脱字がなく、不快感や違和感を感じるところはなかったか。</t>
        </is>
      </c>
      <c r="E76" s="74" t="n"/>
      <c r="F76" s="75" t="n"/>
      <c r="G76" s="48" t="n"/>
      <c r="H76" s="92">
        <f>IF(G76="〇", 1, IF(G76="△", 0.5, 0))</f>
        <v/>
      </c>
      <c r="I76" s="86" t="inlineStr">
        <is>
          <t>〇：一切懸念なし
△：若干の懸念を感じる
✕：違和感、懸念を強く感じる</t>
        </is>
      </c>
      <c r="J76" s="51" t="inlineStr">
        <is>
          <t>△✕の具体的内容↓</t>
        </is>
      </c>
    </row>
    <row r="77" ht="13" customHeight="1" s="135">
      <c r="A77" s="81" t="n"/>
      <c r="B77" s="81" t="n"/>
      <c r="C77" s="47" t="n">
        <v>6</v>
      </c>
      <c r="D77" s="76" t="inlineStr">
        <is>
          <t>メールで記載されていた候補日時はスケジューラーURLではなくテキストで送ってきた。</t>
        </is>
      </c>
      <c r="E77" s="74" t="n"/>
      <c r="F77" s="75" t="n"/>
      <c r="G77" s="48" t="n"/>
      <c r="H77" s="92">
        <f>IF(G77="〇", 1, IF(G77="△", 0.5, 0))</f>
        <v/>
      </c>
      <c r="I77" s="86" t="inlineStr">
        <is>
          <t>〇：テキストのみ候補日程多
△：テキストのみ候補日程少
✕：スケジューラー添付のみ</t>
        </is>
      </c>
      <c r="J77" s="51" t="n"/>
    </row>
    <row r="78" ht="14" customHeight="1" s="135">
      <c r="A78" s="81" t="n"/>
      <c r="B78" s="82" t="n"/>
      <c r="C78" s="47" t="n">
        <v>7</v>
      </c>
      <c r="D78" s="76" t="inlineStr">
        <is>
          <t>メールで事前に資料が共有された。</t>
        </is>
      </c>
      <c r="E78" s="74" t="n"/>
      <c r="F78" s="75" t="n"/>
      <c r="G78" s="48" t="n"/>
      <c r="H78" s="92">
        <f>IF(G78="〇", 1, IF(G78="△", 0.5, 0))</f>
        <v/>
      </c>
      <c r="I78" s="86" t="inlineStr">
        <is>
          <t>〇：2つ以上の共有あり
△：1つのみ共有有
✕：共有なし</t>
        </is>
      </c>
      <c r="J78" s="51" t="inlineStr">
        <is>
          <t>事前資料の内容↓</t>
        </is>
      </c>
    </row>
    <row r="79" ht="13" customHeight="1" s="135">
      <c r="A79" s="81" t="n"/>
      <c r="B79" s="147" t="inlineStr">
        <is>
          <t>仕組み</t>
        </is>
      </c>
      <c r="C79" s="53" t="n">
        <v>8</v>
      </c>
      <c r="D79" s="76" t="inlineStr">
        <is>
          <t>メールでの連絡を希望していたにも関わらず電話をかけていないか</t>
        </is>
      </c>
      <c r="E79" s="74" t="n"/>
      <c r="F79" s="75" t="n"/>
      <c r="G79" s="48" t="n"/>
      <c r="H79" s="92">
        <f>IF(G79="〇", 1, IF(G79="△", 0.5, 0))</f>
        <v/>
      </c>
      <c r="I79" s="86" t="inlineStr">
        <is>
          <t>〇：希望通りメールで連携
△：電話をかけてきた。
✕：電話を繰り返しかけてきた。</t>
        </is>
      </c>
      <c r="J79" s="51" t="n"/>
    </row>
    <row r="80" ht="14" customHeight="1" s="135">
      <c r="A80" s="81" t="n"/>
      <c r="B80" s="140" t="n"/>
      <c r="C80" s="53" t="n">
        <v>9</v>
      </c>
      <c r="D80" s="76" t="inlineStr">
        <is>
          <t>メールに事前質問は記載されていたか？</t>
        </is>
      </c>
      <c r="E80" s="74" t="n"/>
      <c r="F80" s="75" t="n"/>
      <c r="G80" s="48" t="n"/>
      <c r="H80" s="92">
        <f>IF(G80="〇", 1, IF(G80="△", 0.5, 0))</f>
        <v/>
      </c>
      <c r="I80" s="86" t="inlineStr">
        <is>
          <t>〇：3つ以上の質問記載
△：～3つ以内の質問記載
✕：質問記載なし</t>
        </is>
      </c>
      <c r="J80" s="51" t="inlineStr">
        <is>
          <t>事前質問内容添付↓</t>
        </is>
      </c>
    </row>
    <row r="81" ht="14" customHeight="1" s="135">
      <c r="A81" s="82" t="n"/>
      <c r="B81" s="140" t="n"/>
      <c r="C81" s="53" t="n">
        <v>10</v>
      </c>
      <c r="D81" s="76" t="inlineStr">
        <is>
          <t>商談前のリマインド連絡があった。</t>
        </is>
      </c>
      <c r="E81" s="74" t="n"/>
      <c r="F81" s="75" t="n"/>
      <c r="G81" s="48" t="n"/>
      <c r="H81" s="92">
        <f>IF(G81="〇", 1, IF(G81="△", 0.5, 0))</f>
        <v/>
      </c>
      <c r="I81" s="86" t="inlineStr">
        <is>
          <t>〇：前日と当日リマインド
△：当日リマインド
✕：リマインドなし</t>
        </is>
      </c>
      <c r="J81" s="51" t="inlineStr">
        <is>
          <t>タイミング↓</t>
        </is>
      </c>
    </row>
    <row r="82" ht="22" customHeight="1" s="135">
      <c r="A82" s="111" t="inlineStr">
        <is>
          <t>商談</t>
        </is>
      </c>
      <c r="B82" s="112" t="n"/>
      <c r="C82" s="112" t="n"/>
      <c r="D82" s="112" t="n"/>
      <c r="E82" s="112" t="n"/>
      <c r="F82" s="112" t="n"/>
      <c r="G82" s="112" t="n"/>
      <c r="H82" s="112" t="n"/>
      <c r="I82" s="112" t="n"/>
      <c r="J82" s="113" t="n"/>
    </row>
    <row r="83" ht="13" customHeight="1" s="135">
      <c r="A83" s="155" t="inlineStr">
        <is>
          <t>商談態勢</t>
        </is>
      </c>
      <c r="B83" s="108" t="inlineStr">
        <is>
          <t>オンライン環境</t>
        </is>
      </c>
      <c r="C83" s="54" t="n">
        <v>1</v>
      </c>
      <c r="D83" s="92" t="inlineStr">
        <is>
          <t>wifiなど、通信環境は安定しているか？(遅延△、切断×)</t>
        </is>
      </c>
      <c r="E83" s="74" t="n"/>
      <c r="F83" s="75" t="n"/>
      <c r="G83" s="48" t="inlineStr">
        <is>
          <t>〇</t>
        </is>
      </c>
      <c r="H83" s="92">
        <f>IF(G83="〇", 1, IF(G83="△", 0.5, 0))</f>
        <v/>
      </c>
      <c r="I83" s="56" t="n"/>
      <c r="J83" s="57" t="n"/>
    </row>
    <row r="84" ht="42" customHeight="1" s="135">
      <c r="A84" s="97" t="n"/>
      <c r="B84" s="81" t="n"/>
      <c r="C84" s="54" t="n">
        <v>2</v>
      </c>
      <c r="D84" s="86" t="inlineStr">
        <is>
          <t>オンラインの入室はオンタイムで参加したか？</t>
        </is>
      </c>
      <c r="E84" s="74" t="n"/>
      <c r="F84" s="75" t="n"/>
      <c r="G84" s="48" t="inlineStr">
        <is>
          <t>〇</t>
        </is>
      </c>
      <c r="H84" s="92">
        <f>IF(G84="〇", 1, IF(G84="△", 0.5, 0))</f>
        <v/>
      </c>
      <c r="I84" s="58" t="inlineStr">
        <is>
          <t>〇：オンタイム1~3分前
△：オンタイム
✕：遅刻</t>
        </is>
      </c>
      <c r="J84" s="59" t="n"/>
    </row>
    <row r="85" ht="56" customHeight="1" s="135">
      <c r="A85" s="97" t="n"/>
      <c r="B85" s="81" t="n"/>
      <c r="C85" s="54" t="n">
        <v>3</v>
      </c>
      <c r="D85" s="86" t="inlineStr">
        <is>
          <t>カメラに映る背景は適切か？</t>
        </is>
      </c>
      <c r="E85" s="74" t="n"/>
      <c r="F85" s="75" t="n"/>
      <c r="G85" s="48" t="inlineStr">
        <is>
          <t>〇</t>
        </is>
      </c>
      <c r="H85" s="92">
        <f>IF(G85="〇", 1, IF(G85="△", 0.5, 0))</f>
        <v/>
      </c>
      <c r="I85" s="58" t="inlineStr">
        <is>
          <t>〇：背景画像利用あり
△：背景画像無、オフィス内
✕：ビジネスシーンに不適切な背景</t>
        </is>
      </c>
      <c r="J85" s="59" t="n"/>
    </row>
    <row r="86" ht="13" customHeight="1" s="135">
      <c r="A86" s="97" t="n"/>
      <c r="B86" s="81" t="n"/>
      <c r="C86" s="54" t="n">
        <v>4</v>
      </c>
      <c r="D86" s="86" t="inlineStr">
        <is>
          <t>音声は遠く聞こえたりハウリングすることなくクリアに聞こえているか？</t>
        </is>
      </c>
      <c r="E86" s="74" t="n"/>
      <c r="F86" s="75" t="n"/>
      <c r="G86" s="48" t="inlineStr">
        <is>
          <t>〇</t>
        </is>
      </c>
      <c r="H86" s="92">
        <f>IF(G86="〇", 1, IF(G86="△", 0.5, 0))</f>
        <v/>
      </c>
      <c r="I86" s="60" t="n"/>
      <c r="J86" s="61" t="n"/>
    </row>
    <row r="87" ht="13" customHeight="1" s="135">
      <c r="A87" s="97" t="n"/>
      <c r="B87" s="81" t="n"/>
      <c r="C87" s="54" t="n">
        <v>5</v>
      </c>
      <c r="D87" s="86" t="inlineStr">
        <is>
          <t>騒音・雑音が横から聞こえないか？</t>
        </is>
      </c>
      <c r="E87" s="74" t="n"/>
      <c r="F87" s="75" t="n"/>
      <c r="G87" s="48" t="inlineStr">
        <is>
          <t>〇</t>
        </is>
      </c>
      <c r="H87" s="92">
        <f>IF(G87="〇", 1, IF(G87="△", 0.5, 0))</f>
        <v/>
      </c>
      <c r="I87" s="58" t="n"/>
      <c r="J87" s="59" t="n"/>
    </row>
    <row r="88" ht="13" customHeight="1" s="135">
      <c r="A88" s="97" t="n"/>
      <c r="B88" s="81" t="n"/>
      <c r="C88" s="54" t="n">
        <v>6</v>
      </c>
      <c r="D88" s="86" t="inlineStr">
        <is>
          <t>自分の顔が明るく見える照明の明るさか？</t>
        </is>
      </c>
      <c r="E88" s="74" t="n"/>
      <c r="F88" s="75" t="n"/>
      <c r="G88" s="48" t="inlineStr">
        <is>
          <t>〇</t>
        </is>
      </c>
      <c r="H88" s="92">
        <f>IF(G88="〇", 1, IF(G88="△", 0.5, 0))</f>
        <v/>
      </c>
      <c r="I88" s="60" t="n"/>
      <c r="J88" s="61" t="n"/>
    </row>
    <row r="89" ht="13" customHeight="1" s="135">
      <c r="A89" s="97" t="n"/>
      <c r="B89" s="81" t="n"/>
      <c r="C89" s="54" t="n">
        <v>7</v>
      </c>
      <c r="D89" s="76" t="inlineStr">
        <is>
          <t>生首状態や顔が見切れるなど、画角は問題ないか？</t>
        </is>
      </c>
      <c r="E89" s="74" t="n"/>
      <c r="F89" s="75" t="n"/>
      <c r="G89" s="48" t="inlineStr">
        <is>
          <t>〇</t>
        </is>
      </c>
      <c r="H89" s="92">
        <f>IF(G89="〇", 1, IF(G89="△", 0.5, 0))</f>
        <v/>
      </c>
      <c r="I89" s="60" t="n"/>
      <c r="J89" s="61" t="n"/>
    </row>
    <row r="90" ht="13" customHeight="1" s="135">
      <c r="A90" s="97" t="n"/>
      <c r="B90" s="82" t="n"/>
      <c r="C90" s="54" t="n">
        <v>8</v>
      </c>
      <c r="D90" s="76" t="inlineStr">
        <is>
          <t>資料の画面共有に時間を要していないか？</t>
        </is>
      </c>
      <c r="E90" s="74" t="n"/>
      <c r="F90" s="75" t="n"/>
      <c r="G90" s="48" t="n"/>
      <c r="H90" s="92">
        <f>IF(G90="〇", 1, IF(G90="△", 0.5, 0))</f>
        <v/>
      </c>
      <c r="I90" s="60" t="n"/>
      <c r="J90" s="61" t="n"/>
    </row>
    <row r="91" ht="13" customHeight="1" s="135">
      <c r="A91" s="97" t="n"/>
      <c r="B91" s="108" t="inlineStr">
        <is>
          <t>外見</t>
        </is>
      </c>
      <c r="C91" s="54" t="n">
        <v>9</v>
      </c>
      <c r="D91" s="86" t="inlineStr">
        <is>
          <t>ビジネスシーンに合わせた服装をしているか？（スーツ、ジャケット）</t>
        </is>
      </c>
      <c r="E91" s="74" t="n"/>
      <c r="F91" s="75" t="n"/>
      <c r="G91" s="48" t="inlineStr">
        <is>
          <t>△</t>
        </is>
      </c>
      <c r="H91" s="92">
        <f>IF(G91="〇", 1, IF(G91="△", 0.5, 0))</f>
        <v/>
      </c>
      <c r="I91" s="60" t="n"/>
      <c r="J91" s="59" t="n"/>
    </row>
    <row r="92" ht="13" customHeight="1" s="135">
      <c r="A92" s="97" t="n"/>
      <c r="B92" s="81" t="n"/>
      <c r="C92" s="54" t="n">
        <v>10</v>
      </c>
      <c r="D92" s="92" t="inlineStr">
        <is>
          <t>過度なアクセサリーはつけていないか？</t>
        </is>
      </c>
      <c r="E92" s="74" t="n"/>
      <c r="F92" s="75" t="n"/>
      <c r="G92" s="48" t="inlineStr">
        <is>
          <t>〇</t>
        </is>
      </c>
      <c r="H92" s="92">
        <f>IF(G92="〇", 1, IF(G92="△", 0.5, 0))</f>
        <v/>
      </c>
      <c r="I92" s="60" t="n"/>
      <c r="J92" s="61" t="n"/>
    </row>
    <row r="93" ht="13" customHeight="1" s="135">
      <c r="A93" s="97" t="n"/>
      <c r="B93" s="81" t="n"/>
      <c r="C93" s="54" t="n">
        <v>11</v>
      </c>
      <c r="D93" s="92" t="inlineStr">
        <is>
          <t>髪は清潔か？</t>
        </is>
      </c>
      <c r="E93" s="74" t="n"/>
      <c r="F93" s="75" t="n"/>
      <c r="G93" s="48" t="inlineStr">
        <is>
          <t>〇</t>
        </is>
      </c>
      <c r="H93" s="92">
        <f>IF(G93="〇", 1, IF(G93="△", 0.5, 0))</f>
        <v/>
      </c>
      <c r="I93" s="62" t="n"/>
      <c r="J93" s="63" t="n"/>
    </row>
    <row r="94" ht="13" customHeight="1" s="135">
      <c r="A94" s="97" t="n"/>
      <c r="B94" s="81" t="n"/>
      <c r="C94" s="54" t="n">
        <v>12</v>
      </c>
      <c r="D94" s="86" t="inlineStr">
        <is>
          <t>ひげは剃っているか？or 適度な化粧はしているか？</t>
        </is>
      </c>
      <c r="E94" s="74" t="n"/>
      <c r="F94" s="75" t="n"/>
      <c r="G94" s="48" t="inlineStr">
        <is>
          <t>〇</t>
        </is>
      </c>
      <c r="H94" s="55">
        <f>IF(G94="〇", 1, IF(G94="△", 0.5, 0))</f>
        <v/>
      </c>
      <c r="I94" s="64" t="n"/>
      <c r="J94" s="65" t="n"/>
    </row>
    <row r="95" ht="13" customHeight="1" s="135">
      <c r="A95" s="97" t="n"/>
      <c r="B95" s="82" t="n"/>
      <c r="C95" s="54" t="n">
        <v>13</v>
      </c>
      <c r="D95" s="92" t="inlineStr">
        <is>
          <t>姿勢は崩れていないか？</t>
        </is>
      </c>
      <c r="E95" s="74" t="n"/>
      <c r="F95" s="75" t="n"/>
      <c r="G95" s="48" t="inlineStr">
        <is>
          <t>〇</t>
        </is>
      </c>
      <c r="H95" s="55">
        <f>IF(G95="〇", 1, IF(G95="△", 0.5, 0))</f>
        <v/>
      </c>
      <c r="I95" s="64" t="n"/>
      <c r="J95" s="64" t="n"/>
    </row>
    <row r="96" ht="13" customHeight="1" s="135">
      <c r="A96" s="97" t="n"/>
      <c r="B96" s="66" t="n"/>
      <c r="C96" s="67" t="n">
        <v>14</v>
      </c>
      <c r="D96" s="86" t="inlineStr">
        <is>
          <t>自己紹介資料の準備はあったか？</t>
        </is>
      </c>
      <c r="E96" s="74" t="n"/>
      <c r="F96" s="75" t="n"/>
      <c r="G96" s="48" t="inlineStr">
        <is>
          <t>✕</t>
        </is>
      </c>
      <c r="H96" s="55">
        <f>IF(G96="〇", 1, IF(G96="△", 0.5, 0))</f>
        <v/>
      </c>
      <c r="I96" s="64" t="n"/>
      <c r="J96" s="65" t="n"/>
    </row>
    <row r="97" ht="13" customHeight="1" s="135">
      <c r="A97" s="97" t="n"/>
      <c r="B97" s="66" t="n"/>
      <c r="C97" s="67" t="n">
        <v>15</v>
      </c>
      <c r="D97" s="86" t="inlineStr">
        <is>
          <t>資料のデザインは洗練されているか？</t>
        </is>
      </c>
      <c r="E97" s="74" t="n"/>
      <c r="F97" s="75" t="n"/>
      <c r="G97" s="48" t="inlineStr">
        <is>
          <t>△</t>
        </is>
      </c>
      <c r="H97" s="55">
        <f>IF(G97="〇", 1, IF(G97="△", 0.5, 0))</f>
        <v/>
      </c>
      <c r="I97" s="64" t="n"/>
      <c r="J97" s="65" t="n"/>
    </row>
    <row r="98" ht="13" customHeight="1" s="135">
      <c r="A98" s="97" t="n"/>
      <c r="B98" s="66" t="n"/>
      <c r="C98" s="67" t="n">
        <v>16</v>
      </c>
      <c r="D98" s="86" t="inlineStr">
        <is>
          <t>パワーポイントのテンプレートや一般的なデザインフォーマットを使用したものではないか？</t>
        </is>
      </c>
      <c r="E98" s="74" t="n"/>
      <c r="F98" s="75" t="n"/>
      <c r="G98" s="48" t="inlineStr">
        <is>
          <t>〇</t>
        </is>
      </c>
      <c r="H98" s="55">
        <f>IF(G98="〇", 1, IF(G98="△", 0.5, 0))</f>
        <v/>
      </c>
      <c r="I98" s="64" t="n"/>
      <c r="J98" s="64" t="n"/>
    </row>
    <row r="99" ht="13" customHeight="1" s="135">
      <c r="A99" s="97" t="n"/>
      <c r="B99" s="66" t="inlineStr">
        <is>
          <t>資料</t>
        </is>
      </c>
      <c r="C99" s="67" t="n">
        <v>17</v>
      </c>
      <c r="D99" s="86" t="inlineStr">
        <is>
          <t>画面共有された状態で文字が読みやすいような大きさになっているか？</t>
        </is>
      </c>
      <c r="E99" s="74" t="n"/>
      <c r="F99" s="75" t="n"/>
      <c r="G99" s="48" t="inlineStr">
        <is>
          <t>〇</t>
        </is>
      </c>
      <c r="H99" s="55">
        <f>IF(G99="〇", 1, IF(G99="△", 0.5, 0))</f>
        <v/>
      </c>
      <c r="I99" s="64" t="n"/>
      <c r="J99" s="64" t="n"/>
    </row>
    <row r="100" ht="13" customHeight="1" s="135">
      <c r="A100" s="97" t="n"/>
      <c r="B100" s="66" t="n"/>
      <c r="C100" s="67" t="n">
        <v>18</v>
      </c>
      <c r="D100" s="86" t="inlineStr">
        <is>
          <t>会社ごとにあわせた提案資料を用意しているか？</t>
        </is>
      </c>
      <c r="E100" s="74" t="n"/>
      <c r="F100" s="75" t="n"/>
      <c r="G100" s="48" t="inlineStr">
        <is>
          <t>△</t>
        </is>
      </c>
      <c r="H100" s="55">
        <f>IF(G100="〇", 1, IF(G100="△", 0.5, 0))</f>
        <v/>
      </c>
      <c r="I100" s="64" t="n"/>
      <c r="J100" s="65" t="n"/>
    </row>
    <row r="101" ht="13" customHeight="1" s="135">
      <c r="A101" s="97" t="n"/>
      <c r="B101" s="66" t="n"/>
      <c r="C101" s="67" t="n">
        <v>19</v>
      </c>
      <c r="D101" s="76" t="inlineStr">
        <is>
          <t>料金プランの内容は理解しやすく、誤認が発生しない内容か？</t>
        </is>
      </c>
      <c r="E101" s="74" t="n"/>
      <c r="F101" s="75" t="n"/>
      <c r="G101" s="48" t="inlineStr">
        <is>
          <t>〇</t>
        </is>
      </c>
      <c r="H101" s="55">
        <f>IF(G101="〇", 1, IF(G101="△", 0.5, 0))</f>
        <v/>
      </c>
      <c r="I101" s="64" t="n"/>
      <c r="J101" s="65" t="n"/>
    </row>
    <row r="102" ht="13" customHeight="1" s="135">
      <c r="A102" s="97" t="n"/>
      <c r="B102" s="66" t="n"/>
      <c r="C102" s="67" t="n">
        <v>20</v>
      </c>
      <c r="D102" s="76" t="inlineStr">
        <is>
          <t>サービス提供フローはスケジュール感も含めて明確に記載されているか？</t>
        </is>
      </c>
      <c r="E102" s="74" t="n"/>
      <c r="F102" s="75" t="n"/>
      <c r="G102" s="48" t="inlineStr">
        <is>
          <t>△</t>
        </is>
      </c>
      <c r="H102" s="55">
        <f>IF(G102="〇", 1, IF(G102="△", 0.5, 0))</f>
        <v/>
      </c>
      <c r="I102" s="64" t="n"/>
      <c r="J102" s="65" t="n"/>
    </row>
    <row r="103" ht="13" customHeight="1" s="135">
      <c r="A103" s="97" t="n"/>
      <c r="B103" s="66" t="n"/>
      <c r="C103" s="67" t="n">
        <v>21</v>
      </c>
      <c r="D103" s="76" t="inlineStr">
        <is>
          <t>資料に事例が記載されているか？</t>
        </is>
      </c>
      <c r="E103" s="74" t="n"/>
      <c r="F103" s="75" t="n"/>
      <c r="G103" s="48" t="inlineStr">
        <is>
          <t>〇</t>
        </is>
      </c>
      <c r="H103" s="55">
        <f>IF(G103="〇", 1, IF(G103="△", 0.5, 0))</f>
        <v/>
      </c>
      <c r="I103" s="64" t="n"/>
      <c r="J103" s="65" t="n"/>
    </row>
    <row r="104" ht="13" customHeight="1" s="135">
      <c r="A104" s="141" t="n"/>
      <c r="B104" s="66" t="n"/>
      <c r="C104" s="67" t="n">
        <v>22</v>
      </c>
      <c r="D104" s="76" t="inlineStr">
        <is>
          <t>具体的な数字をもとに費用対効果や価値が記載されているか？</t>
        </is>
      </c>
      <c r="E104" s="74" t="n"/>
      <c r="F104" s="75" t="n"/>
      <c r="G104" s="48" t="inlineStr">
        <is>
          <t>✕</t>
        </is>
      </c>
      <c r="H104" s="55">
        <f>IF(G104="〇", 1, IF(G104="△", 0.5, 0))</f>
        <v/>
      </c>
      <c r="I104" s="64" t="n"/>
      <c r="J104" s="65" t="n"/>
    </row>
    <row r="105" ht="13" customHeight="1" s="135">
      <c r="A105" s="156" t="inlineStr">
        <is>
          <t>営業人間力</t>
        </is>
      </c>
      <c r="B105" s="151" t="inlineStr">
        <is>
          <t>非言語</t>
        </is>
      </c>
      <c r="C105" s="67" t="n">
        <v>1</v>
      </c>
      <c r="D105" s="86" t="inlineStr">
        <is>
          <t>自然に笑顔をつくっているか？</t>
        </is>
      </c>
      <c r="E105" s="74" t="n"/>
      <c r="F105" s="75" t="n"/>
      <c r="G105" s="48" t="inlineStr">
        <is>
          <t>〇</t>
        </is>
      </c>
      <c r="H105" s="55">
        <f>IF(G105="〇", 1, IF(G105="△", 0.5, 0))</f>
        <v/>
      </c>
      <c r="I105" s="64" t="n"/>
      <c r="J105" s="65" t="n"/>
    </row>
    <row r="106" ht="13" customHeight="1" s="135">
      <c r="A106" s="84" t="n"/>
      <c r="B106" s="84" t="n"/>
      <c r="C106" s="67" t="n">
        <v>2</v>
      </c>
      <c r="D106" s="86" t="inlineStr">
        <is>
          <t>褒める言葉を気後れせずに伝えられているか？</t>
        </is>
      </c>
      <c r="E106" s="74" t="n"/>
      <c r="F106" s="75" t="n"/>
      <c r="G106" s="48" t="inlineStr">
        <is>
          <t>△</t>
        </is>
      </c>
      <c r="H106" s="55">
        <f>IF(G106="〇", 1, IF(G106="△", 0.5, 0))</f>
        <v/>
      </c>
      <c r="I106" s="64" t="n"/>
      <c r="J106" s="65" t="n"/>
    </row>
    <row r="107" ht="13" customHeight="1" s="135">
      <c r="A107" s="84" t="n"/>
      <c r="B107" s="84" t="n"/>
      <c r="C107" s="67" t="n">
        <v>3</v>
      </c>
      <c r="D107" s="92" t="inlineStr">
        <is>
          <t>声の大きさは大きいか？</t>
        </is>
      </c>
      <c r="E107" s="74" t="n"/>
      <c r="F107" s="75" t="n"/>
      <c r="G107" s="48" t="inlineStr">
        <is>
          <t>〇</t>
        </is>
      </c>
      <c r="H107" s="55">
        <f>IF(G107="〇", 1, IF(G107="△", 0.5, 0))</f>
        <v/>
      </c>
      <c r="I107" s="64" t="n"/>
      <c r="J107" s="64" t="n"/>
    </row>
    <row r="108" ht="13" customHeight="1" s="135">
      <c r="A108" s="84" t="n"/>
      <c r="B108" s="84" t="n"/>
      <c r="C108" s="67" t="n">
        <v>4</v>
      </c>
      <c r="D108" s="86" t="inlineStr">
        <is>
          <t>話す速度は営業先に合わせているか？</t>
        </is>
      </c>
      <c r="E108" s="74" t="n"/>
      <c r="F108" s="75" t="n"/>
      <c r="G108" s="48" t="inlineStr">
        <is>
          <t>〇</t>
        </is>
      </c>
      <c r="H108" s="55">
        <f>IF(G108="〇", 1, IF(G108="△", 0.5, 0))</f>
        <v/>
      </c>
      <c r="I108" s="64" t="n"/>
      <c r="J108" s="64" t="n"/>
    </row>
    <row r="109" ht="13" customHeight="1" s="135">
      <c r="A109" s="84" t="n"/>
      <c r="B109" s="84" t="n"/>
      <c r="C109" s="67" t="n">
        <v>5</v>
      </c>
      <c r="D109" s="92" t="inlineStr">
        <is>
          <t>声の抑揚はあるか？</t>
        </is>
      </c>
      <c r="E109" s="74" t="n"/>
      <c r="F109" s="75" t="n"/>
      <c r="G109" s="48" t="inlineStr">
        <is>
          <t>〇</t>
        </is>
      </c>
      <c r="H109" s="55">
        <f>IF(G109="〇", 1, IF(G109="△", 0.5, 0))</f>
        <v/>
      </c>
      <c r="I109" s="64" t="n"/>
      <c r="J109" s="64" t="n"/>
    </row>
    <row r="110" ht="13" customHeight="1" s="135">
      <c r="A110" s="84" t="n"/>
      <c r="B110" s="84" t="n"/>
      <c r="C110" s="67" t="n">
        <v>6</v>
      </c>
      <c r="D110" s="92" t="inlineStr">
        <is>
          <t>身振り手振りを行っているか？</t>
        </is>
      </c>
      <c r="E110" s="74" t="n"/>
      <c r="F110" s="75" t="n"/>
      <c r="G110" s="48" t="inlineStr">
        <is>
          <t>✕</t>
        </is>
      </c>
      <c r="H110" s="55">
        <f>IF(G110="〇", 1, IF(G110="△", 0.5, 0))</f>
        <v/>
      </c>
      <c r="I110" s="64" t="n"/>
      <c r="J110" s="65" t="n"/>
    </row>
    <row r="111" ht="13" customHeight="1" s="135">
      <c r="A111" s="84" t="n"/>
      <c r="B111" s="84" t="n"/>
      <c r="C111" s="67" t="n">
        <v>7</v>
      </c>
      <c r="D111" s="92" t="inlineStr">
        <is>
          <t>相手が話していることに相づちを打ったり、頷きはあるか？(多少、大げさでもOK)</t>
        </is>
      </c>
      <c r="E111" s="74" t="n"/>
      <c r="F111" s="75" t="n"/>
      <c r="G111" s="48" t="inlineStr">
        <is>
          <t>〇</t>
        </is>
      </c>
      <c r="H111" s="55">
        <f>IF(G111="〇", 1, IF(G111="△", 0.5, 0))</f>
        <v/>
      </c>
      <c r="I111" s="64" t="n"/>
      <c r="J111" s="64" t="n"/>
    </row>
    <row r="112" ht="13" customHeight="1" s="135">
      <c r="A112" s="84" t="n"/>
      <c r="B112" s="84" t="n"/>
      <c r="C112" s="67" t="n">
        <v>8</v>
      </c>
      <c r="D112" s="92" t="inlineStr">
        <is>
          <t>伝えたいポイントをカーソルやペンでなぞっているか？</t>
        </is>
      </c>
      <c r="E112" s="74" t="n"/>
      <c r="F112" s="75" t="n"/>
      <c r="G112" s="48" t="inlineStr">
        <is>
          <t>△</t>
        </is>
      </c>
      <c r="H112" s="55">
        <f>IF(G112="〇", 1, IF(G112="△", 0.5, 0))</f>
        <v/>
      </c>
      <c r="I112" s="64" t="n"/>
      <c r="J112" s="65" t="n"/>
    </row>
    <row r="113" ht="13" customHeight="1" s="135">
      <c r="A113" s="84" t="n"/>
      <c r="B113" s="84" t="n"/>
      <c r="C113" s="67" t="n">
        <v>9</v>
      </c>
      <c r="D113" s="92" t="inlineStr">
        <is>
          <t>不快感を持たないか？(説明、対応、返答など)</t>
        </is>
      </c>
      <c r="E113" s="74" t="n"/>
      <c r="F113" s="75" t="n"/>
      <c r="G113" s="48" t="inlineStr">
        <is>
          <t>〇</t>
        </is>
      </c>
      <c r="H113" s="55">
        <f>IF(G113="〇", 1, IF(G113="△", 0.5, 0))</f>
        <v/>
      </c>
      <c r="I113" s="64" t="n"/>
      <c r="J113" s="65" t="n"/>
    </row>
    <row r="114" ht="13" customHeight="1" s="135">
      <c r="A114" s="84" t="n"/>
      <c r="B114" s="84" t="n"/>
      <c r="C114" s="67" t="n">
        <v>10</v>
      </c>
      <c r="D114" s="92" t="inlineStr">
        <is>
          <t>言動や対応に違和感・不審感は無いか？</t>
        </is>
      </c>
      <c r="E114" s="74" t="n"/>
      <c r="F114" s="75" t="n"/>
      <c r="G114" s="48" t="inlineStr">
        <is>
          <t>〇</t>
        </is>
      </c>
      <c r="H114" s="55">
        <f>IF(G114="〇", 1, IF(G114="△", 0.5, 0))</f>
        <v/>
      </c>
      <c r="I114" s="64" t="n"/>
      <c r="J114" s="65" t="n"/>
    </row>
    <row r="115" ht="13" customHeight="1" s="135">
      <c r="A115" s="84" t="n"/>
      <c r="B115" s="84" t="n"/>
      <c r="C115" s="67" t="n">
        <v>11</v>
      </c>
      <c r="D115" s="86" t="inlineStr">
        <is>
          <t>ペンで書いた文字はきれいか？</t>
        </is>
      </c>
      <c r="E115" s="74" t="n"/>
      <c r="F115" s="75" t="n"/>
      <c r="G115" s="48" t="inlineStr">
        <is>
          <t>✕</t>
        </is>
      </c>
      <c r="H115" s="55">
        <f>IF(G115="〇", 1, IF(G115="△", 0.5, 0))</f>
        <v/>
      </c>
      <c r="I115" s="64" t="n"/>
      <c r="J115" s="65" t="n"/>
    </row>
    <row r="116" ht="13" customHeight="1" s="135">
      <c r="A116" s="84" t="n"/>
      <c r="B116" s="85" t="n"/>
      <c r="C116" s="67" t="n">
        <v>12</v>
      </c>
      <c r="D116" s="86" t="inlineStr">
        <is>
          <t>画面にたいして、正面を向いているか？</t>
        </is>
      </c>
      <c r="E116" s="74" t="n"/>
      <c r="F116" s="75" t="n"/>
      <c r="G116" s="48" t="inlineStr">
        <is>
          <t>〇</t>
        </is>
      </c>
      <c r="H116" s="55">
        <f>IF(G116="〇", 1, IF(G116="△", 0.5, 0))</f>
        <v/>
      </c>
      <c r="I116" s="64" t="n"/>
      <c r="J116" s="65" t="n"/>
    </row>
    <row r="117" ht="13" customHeight="1" s="135">
      <c r="A117" s="84" t="n"/>
      <c r="B117" s="88" t="inlineStr">
        <is>
          <t>相手への理解度</t>
        </is>
      </c>
      <c r="C117" s="67" t="n">
        <v>13</v>
      </c>
      <c r="D117" s="76" t="inlineStr">
        <is>
          <t>相手の業界の知識を持ち合わせているか？この人はわかっている！と思えるか？</t>
        </is>
      </c>
      <c r="E117" s="74" t="n"/>
      <c r="F117" s="75" t="n"/>
      <c r="G117" s="48" t="inlineStr">
        <is>
          <t>〇</t>
        </is>
      </c>
      <c r="H117" s="55">
        <f>IF(G117="〇", 1, IF(G117="△", 0.5, 0))</f>
        <v/>
      </c>
      <c r="I117" s="64" t="n"/>
      <c r="J117" s="65" t="n"/>
    </row>
    <row r="118" ht="13" customHeight="1" s="135">
      <c r="A118" s="84" t="n"/>
      <c r="B118" s="84" t="n"/>
      <c r="C118" s="67" t="n">
        <v>14</v>
      </c>
      <c r="D118" s="76" t="inlineStr">
        <is>
          <t>相手の商材について、イメージを持っているか？近しい業界の事例などを伝えられているか？</t>
        </is>
      </c>
      <c r="E118" s="74" t="n"/>
      <c r="F118" s="75" t="n"/>
      <c r="G118" s="48" t="inlineStr">
        <is>
          <t>〇</t>
        </is>
      </c>
      <c r="H118" s="55">
        <f>IF(G118="〇", 1, IF(G118="△", 0.5, 0))</f>
        <v/>
      </c>
      <c r="I118" s="64" t="n"/>
      <c r="J118" s="64" t="n"/>
    </row>
    <row r="119" ht="13" customHeight="1" s="135">
      <c r="A119" s="84" t="n"/>
      <c r="B119" s="85" t="n"/>
      <c r="C119" s="67" t="n">
        <v>15</v>
      </c>
      <c r="D119" s="76" t="inlineStr">
        <is>
          <t>ビジネスモデルの理解ができているか？キャッシュポイントなどを認識して、仮説を伝えているか？</t>
        </is>
      </c>
      <c r="E119" s="74" t="n"/>
      <c r="F119" s="75" t="n"/>
      <c r="G119" s="48" t="inlineStr">
        <is>
          <t>〇</t>
        </is>
      </c>
      <c r="H119" s="55">
        <f>IF(G119="〇", 1, IF(G119="△", 0.5, 0))</f>
        <v/>
      </c>
      <c r="I119" s="64" t="n"/>
      <c r="J119" s="64" t="n"/>
    </row>
    <row r="120" ht="13" customHeight="1" s="135">
      <c r="A120" s="84" t="n"/>
      <c r="B120" s="88" t="inlineStr">
        <is>
          <t>表情</t>
        </is>
      </c>
      <c r="C120" s="67" t="n">
        <v>16</v>
      </c>
      <c r="D120" s="86" t="inlineStr">
        <is>
          <t>沈黙に不安な顔をしていないか</t>
        </is>
      </c>
      <c r="E120" s="74" t="n"/>
      <c r="F120" s="75" t="n"/>
      <c r="G120" s="48" t="inlineStr">
        <is>
          <t>〇</t>
        </is>
      </c>
      <c r="H120" s="55">
        <f>IF(G120="〇", 1, IF(G120="△", 0.5, 0))</f>
        <v/>
      </c>
      <c r="I120" s="64" t="n"/>
      <c r="J120" s="64" t="n"/>
    </row>
    <row r="121" ht="13" customHeight="1" s="135">
      <c r="A121" s="84" t="n"/>
      <c r="B121" s="84" t="n"/>
      <c r="C121" s="67" t="n">
        <v>17</v>
      </c>
      <c r="D121" s="86" t="inlineStr">
        <is>
          <t>相手におびえていないか？</t>
        </is>
      </c>
      <c r="E121" s="74" t="n"/>
      <c r="F121" s="75" t="n"/>
      <c r="G121" s="48" t="inlineStr">
        <is>
          <t>〇</t>
        </is>
      </c>
      <c r="H121" s="55">
        <f>IF(G121="〇", 1, IF(G121="△", 0.5, 0))</f>
        <v/>
      </c>
      <c r="I121" s="64" t="n"/>
      <c r="J121" s="64" t="n"/>
    </row>
    <row r="122" ht="13" customHeight="1" s="135">
      <c r="A122" s="84" t="n"/>
      <c r="B122" s="85" t="n"/>
      <c r="C122" s="67" t="n">
        <v>18</v>
      </c>
      <c r="D122" s="76" t="inlineStr">
        <is>
          <t>自社からの質問にイライラしていないか？不快感を顔に出していないか？</t>
        </is>
      </c>
      <c r="E122" s="74" t="n"/>
      <c r="F122" s="75" t="n"/>
      <c r="G122" s="48" t="inlineStr">
        <is>
          <t>〇</t>
        </is>
      </c>
      <c r="H122" s="55">
        <f>IF(G122="〇", 1, IF(G122="△", 0.5, 0))</f>
        <v/>
      </c>
      <c r="I122" s="64" t="n"/>
      <c r="J122" s="65" t="n"/>
    </row>
    <row r="123" ht="13" customHeight="1" s="135">
      <c r="A123" s="84" t="n"/>
      <c r="B123" s="88" t="inlineStr">
        <is>
          <t>言動</t>
        </is>
      </c>
      <c r="C123" s="67" t="n">
        <v>19</v>
      </c>
      <c r="D123" s="86" t="inlineStr">
        <is>
          <t>○○社長/代表/様と呼んでいるか</t>
        </is>
      </c>
      <c r="E123" s="74" t="n"/>
      <c r="F123" s="75" t="n"/>
      <c r="G123" s="48" t="inlineStr">
        <is>
          <t>〇</t>
        </is>
      </c>
      <c r="H123" s="55">
        <f>IF(G123="〇", 1, IF(G123="△", 0.5, 0))</f>
        <v/>
      </c>
      <c r="I123" s="64" t="n"/>
      <c r="J123" s="64" t="n"/>
    </row>
    <row r="124" ht="13" customHeight="1" s="135">
      <c r="A124" s="84" t="n"/>
      <c r="B124" s="84" t="n"/>
      <c r="C124" s="67" t="n">
        <v>20</v>
      </c>
      <c r="D124" s="86" t="inlineStr">
        <is>
          <t>貢献できます。など断言ができているか？※嘘はNG</t>
        </is>
      </c>
      <c r="E124" s="74" t="n"/>
      <c r="F124" s="75" t="n"/>
      <c r="G124" s="48" t="inlineStr">
        <is>
          <t>△</t>
        </is>
      </c>
      <c r="H124" s="55">
        <f>IF(G124="〇", 1, IF(G124="△", 0.5, 0))</f>
        <v/>
      </c>
      <c r="I124" s="64" t="n"/>
      <c r="J124" s="64" t="n"/>
    </row>
    <row r="125" ht="13" customHeight="1" s="135">
      <c r="A125" s="84" t="n"/>
      <c r="B125" s="85" t="n"/>
      <c r="C125" s="67" t="n">
        <v>21</v>
      </c>
      <c r="D125" s="86" t="inlineStr">
        <is>
          <t>沈黙のアテンションがあるか？</t>
        </is>
      </c>
      <c r="E125" s="74" t="n"/>
      <c r="F125" s="75" t="n"/>
      <c r="G125" s="48" t="inlineStr">
        <is>
          <t>〇</t>
        </is>
      </c>
      <c r="H125" s="55">
        <f>IF(G125="〇", 1, IF(G125="△", 0.5, 0))</f>
        <v/>
      </c>
      <c r="I125" s="64" t="n"/>
      <c r="J125" s="64" t="n"/>
    </row>
    <row r="126" ht="13" customHeight="1" s="135">
      <c r="A126" s="84" t="n"/>
      <c r="B126" s="88" t="inlineStr">
        <is>
          <t>気遣い</t>
        </is>
      </c>
      <c r="C126" s="67" t="n">
        <v>22</v>
      </c>
      <c r="D126" s="86" t="inlineStr">
        <is>
          <t>咳をするときや、相手の話をしっかり聞きたいときにマイクオフにするといった気配りがあるか？</t>
        </is>
      </c>
      <c r="E126" s="74" t="n"/>
      <c r="F126" s="75" t="n"/>
      <c r="G126" s="48" t="inlineStr">
        <is>
          <t>〇</t>
        </is>
      </c>
      <c r="H126" s="55">
        <f>IF(G126="〇", 1, IF(G126="△", 0.5, 0))</f>
        <v/>
      </c>
      <c r="I126" s="64" t="n"/>
      <c r="J126" s="64" t="n"/>
    </row>
    <row r="127" ht="13" customHeight="1" s="135">
      <c r="A127" s="84" t="n"/>
      <c r="B127" s="84" t="n"/>
      <c r="C127" s="67" t="n">
        <v>23</v>
      </c>
      <c r="D127" s="86" t="inlineStr">
        <is>
          <t>リレーションは築けているか？(最後に雑談等)</t>
        </is>
      </c>
      <c r="E127" s="74" t="n"/>
      <c r="F127" s="75" t="n"/>
      <c r="G127" s="48" t="inlineStr">
        <is>
          <t>〇</t>
        </is>
      </c>
      <c r="H127" s="55">
        <f>IF(G127="〇", 1, IF(G127="△", 0.5, 0))</f>
        <v/>
      </c>
      <c r="I127" s="64" t="n"/>
      <c r="J127" s="64" t="n"/>
    </row>
    <row r="128" ht="13" customHeight="1" s="135">
      <c r="A128" s="84" t="n"/>
      <c r="B128" s="84" t="n"/>
      <c r="C128" s="67" t="n">
        <v>24</v>
      </c>
      <c r="D128" s="92" t="inlineStr">
        <is>
          <t>最後に大きな声で御礼が言えているか？</t>
        </is>
      </c>
      <c r="E128" s="74" t="n"/>
      <c r="F128" s="75" t="n"/>
      <c r="G128" s="48" t="inlineStr">
        <is>
          <t>〇</t>
        </is>
      </c>
      <c r="H128" s="55">
        <f>IF(G128="〇", 1, IF(G128="△", 0.5, 0))</f>
        <v/>
      </c>
      <c r="I128" s="64" t="n"/>
      <c r="J128" s="64" t="n"/>
    </row>
    <row r="129" ht="13" customHeight="1" s="135">
      <c r="A129" s="85" t="n"/>
      <c r="B129" s="85" t="n"/>
      <c r="C129" s="67" t="n">
        <v>25</v>
      </c>
      <c r="D129" s="92" t="inlineStr">
        <is>
          <t>向こうが画面を切るまで待っているか？</t>
        </is>
      </c>
      <c r="E129" s="74" t="n"/>
      <c r="F129" s="75" t="n"/>
      <c r="G129" s="48" t="inlineStr">
        <is>
          <t>△</t>
        </is>
      </c>
      <c r="H129" s="55">
        <f>IF(G129="〇", 1, IF(G129="△", 0.5, 0))</f>
        <v/>
      </c>
      <c r="I129" s="64" t="n"/>
      <c r="J129" s="65" t="n"/>
    </row>
    <row r="130" ht="13" customHeight="1" s="135">
      <c r="A130" s="96" t="inlineStr">
        <is>
          <t xml:space="preserve">商談対応力
</t>
        </is>
      </c>
      <c r="B130" s="87" t="inlineStr">
        <is>
          <t>冒頭</t>
        </is>
      </c>
      <c r="C130" s="54" t="n">
        <v>1</v>
      </c>
      <c r="D130" s="86" t="inlineStr">
        <is>
          <t>冒頭大きな声でさわやかに挨拶できているか？</t>
        </is>
      </c>
      <c r="E130" s="74" t="n"/>
      <c r="F130" s="75" t="n"/>
      <c r="G130" s="48" t="inlineStr">
        <is>
          <t>〇</t>
        </is>
      </c>
      <c r="H130" s="92">
        <f>IF(G130="〇", 1, IF(G130="△", 0.5, 0))</f>
        <v/>
      </c>
      <c r="I130" s="92" t="n"/>
      <c r="J130" s="86" t="n"/>
    </row>
    <row r="131" ht="13" customHeight="1" s="135">
      <c r="A131" s="97" t="n"/>
      <c r="B131" s="81" t="n"/>
      <c r="C131" s="54" t="n">
        <v>2</v>
      </c>
      <c r="D131" s="86" t="inlineStr">
        <is>
          <t>音声の聞こえ方やカメラ画面の見え方に違和感などがないか確認しているか？</t>
        </is>
      </c>
      <c r="E131" s="74" t="n"/>
      <c r="F131" s="75" t="n"/>
      <c r="G131" s="48" t="inlineStr">
        <is>
          <t>〇</t>
        </is>
      </c>
      <c r="H131" s="92">
        <f>IF(G131="〇", 1, IF(G131="△", 0.5, 0))</f>
        <v/>
      </c>
      <c r="I131" s="92" t="n"/>
      <c r="J131" s="86" t="n"/>
    </row>
    <row r="132" ht="13" customHeight="1" s="135">
      <c r="A132" s="97" t="n"/>
      <c r="B132" s="81" t="n"/>
      <c r="C132" s="54" t="n">
        <v>3</v>
      </c>
      <c r="D132" s="86" t="inlineStr">
        <is>
          <t>いきなり質問から始めるのではなく商談の方向性や流れを明確にしてからスタートしているか？</t>
        </is>
      </c>
      <c r="E132" s="74" t="n"/>
      <c r="F132" s="75" t="n"/>
      <c r="G132" s="48" t="inlineStr">
        <is>
          <t>〇</t>
        </is>
      </c>
      <c r="H132" s="92">
        <f>IF(G132="〇", 1, IF(G132="△", 0.5, 0))</f>
        <v/>
      </c>
      <c r="I132" s="92" t="n"/>
      <c r="J132" s="86" t="n"/>
    </row>
    <row r="133" ht="13" customHeight="1" s="135">
      <c r="A133" s="97" t="n"/>
      <c r="B133" s="81" t="n"/>
      <c r="C133" s="54" t="n">
        <v>4</v>
      </c>
      <c r="D133" s="86" t="inlineStr">
        <is>
          <t>商談担当者の自己紹介は行っているか？</t>
        </is>
      </c>
      <c r="E133" s="74" t="n"/>
      <c r="F133" s="75" t="n"/>
      <c r="G133" s="48" t="inlineStr">
        <is>
          <t>✕</t>
        </is>
      </c>
      <c r="H133" s="92">
        <f>IF(G133="〇", 1, IF(G133="△", 0.5, 0))</f>
        <v/>
      </c>
      <c r="I133" s="92" t="n"/>
      <c r="J133" s="86" t="n"/>
    </row>
    <row r="134" ht="13" customHeight="1" s="135">
      <c r="A134" s="97" t="n"/>
      <c r="B134" s="82" t="n"/>
      <c r="C134" s="54" t="n">
        <v>5</v>
      </c>
      <c r="D134" s="86" t="inlineStr">
        <is>
          <t>打ち合わせのタイムスケジュール感を冒頭ですり合わせているか？</t>
        </is>
      </c>
      <c r="E134" s="74" t="n"/>
      <c r="F134" s="75" t="n"/>
      <c r="G134" s="48" t="inlineStr">
        <is>
          <t>△</t>
        </is>
      </c>
      <c r="H134" s="92">
        <f>IF(G134="〇", 1, IF(G134="△", 0.5, 0))</f>
        <v/>
      </c>
      <c r="I134" s="92" t="n"/>
      <c r="J134" s="86" t="n"/>
    </row>
    <row r="135" ht="13" customHeight="1" s="135">
      <c r="A135" s="97" t="n"/>
      <c r="B135" s="87" t="inlineStr">
        <is>
          <t>質問</t>
        </is>
      </c>
      <c r="C135" s="54" t="n">
        <v>6</v>
      </c>
      <c r="D135" s="86" t="inlineStr">
        <is>
          <t>商談をされる側が不快感を示すような一方的な質問責めをしていないか？</t>
        </is>
      </c>
      <c r="E135" s="74" t="n"/>
      <c r="F135" s="75" t="n"/>
      <c r="G135" s="48" t="inlineStr">
        <is>
          <t>〇</t>
        </is>
      </c>
      <c r="H135" s="92">
        <f>IF(G135="〇", 1, IF(G135="△", 0.5, 0))</f>
        <v/>
      </c>
      <c r="I135" s="92" t="n"/>
      <c r="J135" s="86" t="n"/>
    </row>
    <row r="136" ht="13" customHeight="1" s="135">
      <c r="A136" s="97" t="n"/>
      <c r="B136" s="81" t="n"/>
      <c r="C136" s="54" t="n">
        <v>7</v>
      </c>
      <c r="D136" s="86" t="inlineStr">
        <is>
          <t>HPや事前情報を調べれば把握できるような質問をしていないか？</t>
        </is>
      </c>
      <c r="E136" s="74" t="n"/>
      <c r="F136" s="75" t="n"/>
      <c r="G136" s="48" t="inlineStr">
        <is>
          <t>〇</t>
        </is>
      </c>
      <c r="H136" s="92">
        <f>IF(G136="〇", 1, IF(G136="△", 0.5, 0))</f>
        <v/>
      </c>
      <c r="I136" s="92" t="n"/>
      <c r="J136" s="86" t="n"/>
    </row>
    <row r="137" ht="13" customHeight="1" s="135">
      <c r="A137" s="97" t="n"/>
      <c r="B137" s="81" t="n"/>
      <c r="C137" s="54" t="n">
        <v>8</v>
      </c>
      <c r="D137" s="86" t="inlineStr">
        <is>
          <t>質問に回答した後の相槌や反応はしているか？</t>
        </is>
      </c>
      <c r="E137" s="74" t="n"/>
      <c r="F137" s="75" t="n"/>
      <c r="G137" s="48" t="inlineStr">
        <is>
          <t>〇</t>
        </is>
      </c>
      <c r="H137" s="92">
        <f>IF(G137="〇", 1, IF(G137="△", 0.5, 0))</f>
        <v/>
      </c>
      <c r="I137" s="92" t="n"/>
      <c r="J137" s="86" t="n"/>
    </row>
    <row r="138" ht="13" customHeight="1" s="135">
      <c r="A138" s="97" t="n"/>
      <c r="B138" s="81" t="n"/>
      <c r="C138" s="54" t="n">
        <v>9</v>
      </c>
      <c r="D138" s="86" t="inlineStr">
        <is>
          <t>質問に回答した後のメモに時間を要して沈黙の時間を生んでいないか？</t>
        </is>
      </c>
      <c r="E138" s="74" t="n"/>
      <c r="F138" s="75" t="n"/>
      <c r="G138" s="48" t="inlineStr">
        <is>
          <t>〇</t>
        </is>
      </c>
      <c r="H138" s="92">
        <f>IF(G138="〇", 1, IF(G138="△", 0.5, 0))</f>
        <v/>
      </c>
      <c r="I138" s="92" t="n"/>
      <c r="J138" s="86" t="n"/>
    </row>
    <row r="139" ht="13" customHeight="1" s="135">
      <c r="A139" s="97" t="n"/>
      <c r="B139" s="82" t="n"/>
      <c r="C139" s="54" t="n">
        <v>10</v>
      </c>
      <c r="D139" s="86" t="inlineStr">
        <is>
          <t>質問回答後に「ありがとうございます」と御礼を伝えているか？</t>
        </is>
      </c>
      <c r="E139" s="74" t="n"/>
      <c r="F139" s="75" t="n"/>
      <c r="G139" s="48" t="inlineStr">
        <is>
          <t>〇</t>
        </is>
      </c>
      <c r="H139" s="92">
        <f>IF(G139="〇", 1, IF(G139="△", 0.5, 0))</f>
        <v/>
      </c>
      <c r="I139" s="92" t="n"/>
      <c r="J139" s="86" t="n"/>
    </row>
    <row r="140" ht="13" customHeight="1" s="135">
      <c r="A140" s="97" t="n"/>
      <c r="B140" s="87" t="inlineStr">
        <is>
          <t>サービス説明</t>
        </is>
      </c>
      <c r="C140" s="54" t="n">
        <v>11</v>
      </c>
      <c r="D140" s="86" t="inlineStr">
        <is>
          <t>自社の会社概要について話しているか？</t>
        </is>
      </c>
      <c r="E140" s="74" t="n"/>
      <c r="F140" s="75" t="n"/>
      <c r="G140" s="48" t="inlineStr">
        <is>
          <t>〇</t>
        </is>
      </c>
      <c r="H140" s="92">
        <f>IF(G140="〇", 1, IF(G140="△", 0.5, 0))</f>
        <v/>
      </c>
      <c r="I140" s="92" t="n"/>
      <c r="J140" s="86" t="n"/>
    </row>
    <row r="141" ht="13" customHeight="1" s="135">
      <c r="A141" s="97" t="n"/>
      <c r="B141" s="81" t="n"/>
      <c r="C141" s="54" t="n">
        <v>12</v>
      </c>
      <c r="D141" s="86" t="inlineStr">
        <is>
          <t>提供するサービスのビジネスモデルを分かりやすく簡潔に話しているか？</t>
        </is>
      </c>
      <c r="E141" s="74" t="n"/>
      <c r="F141" s="75" t="n"/>
      <c r="G141" s="48" t="inlineStr">
        <is>
          <t>〇</t>
        </is>
      </c>
      <c r="H141" s="92">
        <f>IF(G141="〇", 1, IF(G141="△", 0.5, 0))</f>
        <v/>
      </c>
      <c r="I141" s="92" t="n"/>
      <c r="J141" s="86" t="n"/>
    </row>
    <row r="142" ht="13" customHeight="1" s="135">
      <c r="A142" s="97" t="n"/>
      <c r="B142" s="81" t="n"/>
      <c r="C142" s="54" t="n">
        <v>13</v>
      </c>
      <c r="D142" s="86" t="inlineStr">
        <is>
          <t>ビジネスモデルは企業HP記載の内容と一致しているか？(虚偽、誇大記載はしていないか？)</t>
        </is>
      </c>
      <c r="E142" s="74" t="n"/>
      <c r="F142" s="75" t="n"/>
      <c r="G142" s="48" t="inlineStr">
        <is>
          <t>〇</t>
        </is>
      </c>
      <c r="H142" s="92">
        <f>IF(G142="〇", 1, IF(G142="△", 0.5, 0))</f>
        <v/>
      </c>
      <c r="I142" s="92" t="n"/>
      <c r="J142" s="86" t="n"/>
    </row>
    <row r="143" ht="13" customHeight="1" s="135">
      <c r="A143" s="97" t="n"/>
      <c r="B143" s="81" t="n"/>
      <c r="C143" s="54" t="n">
        <v>14</v>
      </c>
      <c r="D143" s="86" t="inlineStr">
        <is>
          <t>他社との違いや優位性について触れているか？</t>
        </is>
      </c>
      <c r="E143" s="74" t="n"/>
      <c r="F143" s="75" t="n"/>
      <c r="G143" s="48" t="inlineStr">
        <is>
          <t>〇</t>
        </is>
      </c>
      <c r="H143" s="92">
        <f>IF(G143="〇", 1, IF(G143="△", 0.5, 0))</f>
        <v/>
      </c>
      <c r="I143" s="92" t="n"/>
      <c r="J143" s="86" t="n"/>
    </row>
    <row r="144" ht="13" customHeight="1" s="135">
      <c r="A144" s="97" t="n"/>
      <c r="B144" s="81" t="n"/>
      <c r="C144" s="54" t="n">
        <v>15</v>
      </c>
      <c r="D144" s="86" t="inlineStr">
        <is>
          <t>事例共有は営業を受ける側に近い事例を準備し、説明しているか？</t>
        </is>
      </c>
      <c r="E144" s="74" t="n"/>
      <c r="F144" s="75" t="n"/>
      <c r="G144" s="48" t="inlineStr">
        <is>
          <t>〇</t>
        </is>
      </c>
      <c r="H144" s="92">
        <f>IF(G144="〇", 1, IF(G144="△", 0.5, 0))</f>
        <v/>
      </c>
      <c r="I144" s="92" t="n"/>
      <c r="J144" s="86" t="n"/>
    </row>
    <row r="145" ht="13" customHeight="1" s="135">
      <c r="A145" s="97" t="n"/>
      <c r="B145" s="81" t="n"/>
      <c r="C145" s="54" t="n">
        <v>16</v>
      </c>
      <c r="D145" s="86" t="inlineStr">
        <is>
          <t>具体的な数値効果について仮説を交えながらわかりやすく説明しているか？</t>
        </is>
      </c>
      <c r="E145" s="74" t="n"/>
      <c r="F145" s="75" t="n"/>
      <c r="G145" s="48" t="inlineStr">
        <is>
          <t>△</t>
        </is>
      </c>
      <c r="H145" s="92">
        <f>IF(G145="〇", 1, IF(G145="△", 0.5, 0))</f>
        <v/>
      </c>
      <c r="I145" s="92" t="n"/>
      <c r="J145" s="86" t="n"/>
    </row>
    <row r="146" ht="13" customHeight="1" s="135">
      <c r="A146" s="97" t="n"/>
      <c r="B146" s="81" t="n"/>
      <c r="C146" s="54" t="n">
        <v>17</v>
      </c>
      <c r="D146" s="86" t="inlineStr">
        <is>
          <t>一方的なサービス説明に終始するのではなく、中間で質疑応答の時間を設けているか？</t>
        </is>
      </c>
      <c r="E146" s="74" t="n"/>
      <c r="F146" s="75" t="n"/>
      <c r="G146" s="48" t="inlineStr">
        <is>
          <t>〇</t>
        </is>
      </c>
      <c r="H146" s="92">
        <f>IF(G146="〇", 1, IF(G146="△", 0.5, 0))</f>
        <v/>
      </c>
      <c r="I146" s="92" t="n"/>
      <c r="J146" s="86" t="n"/>
    </row>
    <row r="147" ht="13" customHeight="1" s="135">
      <c r="A147" s="97" t="n"/>
      <c r="B147" s="81" t="n"/>
      <c r="C147" s="54" t="n">
        <v>18</v>
      </c>
      <c r="D147" s="86" t="inlineStr">
        <is>
          <t>サービスフローはスケジュール感を交えて説明できているか？</t>
        </is>
      </c>
      <c r="E147" s="74" t="n"/>
      <c r="F147" s="75" t="n"/>
      <c r="G147" s="48" t="inlineStr">
        <is>
          <t>△</t>
        </is>
      </c>
      <c r="H147" s="92">
        <f>IF(G147="〇", 1, IF(G147="△", 0.5, 0))</f>
        <v/>
      </c>
      <c r="I147" s="92" t="n"/>
      <c r="J147" s="86" t="n"/>
    </row>
    <row r="148" ht="13" customHeight="1" s="135">
      <c r="A148" s="97" t="n"/>
      <c r="B148" s="81" t="n"/>
      <c r="C148" s="54" t="n">
        <v>19</v>
      </c>
      <c r="D148" s="86" t="inlineStr">
        <is>
          <t>料金プランは一部を切り出して説明するのではなく、全体でかかる費用を網羅的に説明できているか？</t>
        </is>
      </c>
      <c r="E148" s="74" t="n"/>
      <c r="F148" s="75" t="n"/>
      <c r="G148" s="48" t="inlineStr">
        <is>
          <t>〇</t>
        </is>
      </c>
      <c r="H148" s="92">
        <f>IF(G148="〇", 1, IF(G148="△", 0.5, 0))</f>
        <v/>
      </c>
      <c r="I148" s="92" t="n"/>
      <c r="J148" s="86" t="n"/>
    </row>
    <row r="149" ht="13" customHeight="1" s="135">
      <c r="A149" s="97" t="n"/>
      <c r="B149" s="81" t="n"/>
      <c r="C149" s="54" t="n">
        <v>20</v>
      </c>
      <c r="D149" s="86" t="inlineStr">
        <is>
          <t>リスクやデメリットについても説明しているか？</t>
        </is>
      </c>
      <c r="E149" s="74" t="n"/>
      <c r="F149" s="75" t="n"/>
      <c r="G149" s="48" t="inlineStr">
        <is>
          <t>〇</t>
        </is>
      </c>
      <c r="H149" s="92">
        <f>IF(G149="〇", 1, IF(G149="△", 0.5, 0))</f>
        <v/>
      </c>
      <c r="I149" s="92" t="n"/>
      <c r="J149" s="86" t="n"/>
    </row>
    <row r="150" ht="13" customHeight="1" s="135">
      <c r="A150" s="97" t="n"/>
      <c r="B150" s="81" t="n"/>
      <c r="C150" s="54" t="n">
        <v>21</v>
      </c>
      <c r="D150" s="86" t="inlineStr">
        <is>
          <t>営業を受けている側のニーズに合わせた提案を行っているか？</t>
        </is>
      </c>
      <c r="E150" s="74" t="n"/>
      <c r="F150" s="75" t="n"/>
      <c r="G150" s="48" t="inlineStr">
        <is>
          <t>〇</t>
        </is>
      </c>
      <c r="H150" s="92">
        <f>IF(G150="〇", 1, IF(G150="△", 0.5, 0))</f>
        <v/>
      </c>
      <c r="I150" s="92" t="n"/>
      <c r="J150" s="86" t="n"/>
    </row>
    <row r="151" ht="13" customHeight="1" s="135">
      <c r="A151" s="97" t="n"/>
      <c r="B151" s="81" t="n"/>
      <c r="C151" s="54" t="n">
        <v>22</v>
      </c>
      <c r="D151" s="86" t="inlineStr">
        <is>
          <t>質問に対して結論ファーストで簡潔に回答できているか？</t>
        </is>
      </c>
      <c r="E151" s="74" t="n"/>
      <c r="F151" s="75" t="n"/>
      <c r="G151" s="48" t="inlineStr">
        <is>
          <t>〇</t>
        </is>
      </c>
      <c r="H151" s="92">
        <f>IF(G151="〇", 1, IF(G151="△", 0.5, 0))</f>
        <v/>
      </c>
      <c r="I151" s="92" t="n"/>
      <c r="J151" s="86" t="n"/>
    </row>
    <row r="152" ht="13" customHeight="1" s="135">
      <c r="A152" s="97" t="n"/>
      <c r="B152" s="82" t="n"/>
      <c r="C152" s="54" t="n">
        <v>23</v>
      </c>
      <c r="D152" s="86" t="inlineStr">
        <is>
          <t>自社・他社情報を共有する際には情報セキュリティに十分に配慮できているか？</t>
        </is>
      </c>
      <c r="E152" s="74" t="n"/>
      <c r="F152" s="75" t="n"/>
      <c r="G152" s="48" t="inlineStr">
        <is>
          <t>△</t>
        </is>
      </c>
      <c r="H152" s="92">
        <f>IF(G152="〇", 1, IF(G152="△", 0.5, 0))</f>
        <v/>
      </c>
      <c r="I152" s="86" t="inlineStr">
        <is>
          <t>管理画面などを見せていたらＮＧ</t>
        </is>
      </c>
      <c r="J152" s="86" t="n"/>
    </row>
    <row r="153" ht="13" customHeight="1" s="135">
      <c r="A153" s="97" t="n"/>
      <c r="B153" s="87" t="inlineStr">
        <is>
          <t>クロージング</t>
        </is>
      </c>
      <c r="C153" s="54" t="n">
        <v>24</v>
      </c>
      <c r="D153" s="86" t="inlineStr">
        <is>
          <t>BANT情報を聞けているか？</t>
        </is>
      </c>
      <c r="E153" s="74" t="n"/>
      <c r="F153" s="75" t="n"/>
      <c r="G153" s="48" t="n"/>
      <c r="H153" s="92">
        <f>IF(G153="〇", 1, IF(G153="△", 0.5, 0))</f>
        <v/>
      </c>
      <c r="I153" s="68" t="inlineStr">
        <is>
          <t xml:space="preserve">https://www.wawaoffice.jp/wawawork/bant/  </t>
        </is>
      </c>
      <c r="J153" s="86" t="n"/>
    </row>
    <row r="154" ht="13" customHeight="1" s="135">
      <c r="A154" s="97" t="n"/>
      <c r="B154" s="81" t="n"/>
      <c r="C154" s="54" t="n">
        <v>25</v>
      </c>
      <c r="D154" s="86" t="inlineStr">
        <is>
          <t>導入に向けた懸念点を聞き出しているか？（テストクロージング）</t>
        </is>
      </c>
      <c r="E154" s="74" t="n"/>
      <c r="F154" s="75" t="n"/>
      <c r="G154" s="48" t="n"/>
      <c r="H154" s="92">
        <f>IF(G154="〇", 1, IF(G154="△", 0.5, 0))</f>
        <v/>
      </c>
      <c r="I154" s="86" t="n"/>
      <c r="J154" s="86" t="n"/>
    </row>
    <row r="155" ht="13" customHeight="1" s="135">
      <c r="A155" s="97" t="n"/>
      <c r="B155" s="81" t="n"/>
      <c r="C155" s="54" t="n">
        <v>26</v>
      </c>
      <c r="D155" s="86" t="inlineStr">
        <is>
          <t>金額懸念に対しての交渉に応じる姿勢は見せているか？</t>
        </is>
      </c>
      <c r="E155" s="74" t="n"/>
      <c r="F155" s="75" t="n"/>
      <c r="G155" s="48" t="n"/>
      <c r="H155" s="92">
        <f>IF(G155="〇", 1, IF(G155="△", 0.5, 0))</f>
        <v/>
      </c>
      <c r="I155" s="92" t="n"/>
      <c r="J155" s="86" t="n"/>
    </row>
    <row r="156" ht="13" customHeight="1" s="135">
      <c r="A156" s="97" t="n"/>
      <c r="B156" s="81" t="n"/>
      <c r="C156" s="54" t="n">
        <v>27</v>
      </c>
      <c r="D156" s="86" t="inlineStr">
        <is>
          <t>ネクストアクションの提案やすり合わせを行っているか？</t>
        </is>
      </c>
      <c r="E156" s="74" t="n"/>
      <c r="F156" s="75" t="n"/>
      <c r="G156" s="48" t="n"/>
      <c r="H156" s="92">
        <f>IF(G156="〇", 1, IF(G156="△", 0.5, 0))</f>
        <v/>
      </c>
      <c r="I156" s="92" t="n"/>
      <c r="J156" s="86" t="n"/>
    </row>
    <row r="157" ht="13" customHeight="1" s="135">
      <c r="A157" s="97" t="n"/>
      <c r="B157" s="81" t="n"/>
      <c r="C157" s="54" t="n">
        <v>28</v>
      </c>
      <c r="D157" s="86" t="inlineStr">
        <is>
          <t>決裁者を交えた次回打ち合わせ日程調整の打診を行っているか？</t>
        </is>
      </c>
      <c r="E157" s="74" t="n"/>
      <c r="F157" s="75" t="n"/>
      <c r="G157" s="48" t="n"/>
      <c r="H157" s="92">
        <f>IF(G157="〇", 1, IF(G157="△", 0.5, 0))</f>
        <v/>
      </c>
      <c r="I157" s="92" t="n"/>
      <c r="J157" s="86" t="n"/>
    </row>
    <row r="158" ht="13" customHeight="1" s="135">
      <c r="A158" s="97" t="n"/>
      <c r="B158" s="81" t="n"/>
      <c r="C158" s="54" t="n">
        <v>29</v>
      </c>
      <c r="D158" s="86" t="inlineStr">
        <is>
          <t>検討期限を区切っているか？</t>
        </is>
      </c>
      <c r="E158" s="74" t="n"/>
      <c r="F158" s="75" t="n"/>
      <c r="G158" s="48" t="n"/>
      <c r="H158" s="92">
        <f>IF(G158="〇", 1, IF(G158="△", 0.5, 0))</f>
        <v/>
      </c>
      <c r="I158" s="92" t="n"/>
      <c r="J158" s="86" t="n"/>
    </row>
    <row r="159" ht="13" customHeight="1" s="135">
      <c r="A159" s="97" t="n"/>
      <c r="B159" s="81" t="n"/>
      <c r="C159" s="54" t="n">
        <v>30</v>
      </c>
      <c r="D159" s="86" t="inlineStr">
        <is>
          <t>金額に対しての価値が伝わっており、価格に対しい安いと思える価値訴求ができているか？</t>
        </is>
      </c>
      <c r="E159" s="74" t="n"/>
      <c r="F159" s="75" t="n"/>
      <c r="G159" s="48" t="n"/>
      <c r="H159" s="92">
        <f>IF(G159="〇", 1, IF(G159="△", 0.5, 0))</f>
        <v/>
      </c>
      <c r="I159" s="92" t="n"/>
      <c r="J159" s="86" t="n"/>
    </row>
    <row r="160" ht="13" customHeight="1" s="135">
      <c r="A160" s="97" t="n"/>
      <c r="B160" s="82" t="n"/>
      <c r="C160" s="54" t="n">
        <v>31</v>
      </c>
      <c r="D160" s="86" t="inlineStr">
        <is>
          <t>強引なクロージングで終えるのではなく気分の良い終話だったか</t>
        </is>
      </c>
      <c r="E160" s="74" t="n"/>
      <c r="F160" s="75" t="n"/>
      <c r="G160" s="48" t="n"/>
      <c r="H160" s="92">
        <f>IF(G160="〇", 1, IF(G160="△", 0.5, 0))</f>
        <v/>
      </c>
      <c r="I160" s="92" t="n"/>
      <c r="J160" s="86" t="n"/>
    </row>
    <row r="161" ht="22" customHeight="1" s="135">
      <c r="A161" s="111" t="inlineStr">
        <is>
          <t>商談後</t>
        </is>
      </c>
      <c r="B161" s="112" t="n"/>
      <c r="C161" s="112" t="n"/>
      <c r="D161" s="112" t="n"/>
      <c r="E161" s="112" t="n"/>
      <c r="F161" s="112" t="n"/>
      <c r="G161" s="112" t="n"/>
      <c r="H161" s="112" t="n"/>
      <c r="I161" s="112" t="n"/>
      <c r="J161" s="113" t="n"/>
    </row>
    <row r="162" ht="14" customHeight="1" s="135">
      <c r="A162" s="69" t="n"/>
      <c r="B162" s="83" t="inlineStr">
        <is>
          <t>商談後対応</t>
        </is>
      </c>
      <c r="C162" s="67" t="n">
        <v>1</v>
      </c>
      <c r="D162" s="86" t="inlineStr">
        <is>
          <t>商談後のサンクスメールは最速で送られてきたか？</t>
        </is>
      </c>
      <c r="E162" s="74" t="n"/>
      <c r="F162" s="75" t="n"/>
      <c r="G162" s="48" t="n"/>
      <c r="H162" s="92">
        <f>IF(G162="〇", 1, IF(G162="△", 0.5, 0))</f>
        <v/>
      </c>
      <c r="I162" s="86" t="inlineStr">
        <is>
          <t>〇：6時間以内
△：24時間以内
✕：24時間以上</t>
        </is>
      </c>
      <c r="J162" s="92" t="n"/>
    </row>
    <row r="163" ht="14" customHeight="1" s="135">
      <c r="A163" s="69" t="n"/>
      <c r="B163" s="84" t="n"/>
      <c r="C163" s="67" t="n">
        <v>2</v>
      </c>
      <c r="D163" s="86" t="inlineStr">
        <is>
          <t>サンクスメールは商談企業ごとに内容を合わせて送っているか？</t>
        </is>
      </c>
      <c r="E163" s="74" t="n"/>
      <c r="F163" s="75" t="n"/>
      <c r="G163" s="48" t="n"/>
      <c r="H163" s="92">
        <f>IF(G163="〇", 1, IF(G163="△", 0.5, 0))</f>
        <v/>
      </c>
      <c r="I163" s="92" t="n"/>
      <c r="J163" s="92" t="n"/>
    </row>
    <row r="164" ht="14" customHeight="1" s="135">
      <c r="A164" s="69" t="n"/>
      <c r="B164" s="84" t="n"/>
      <c r="C164" s="67" t="n">
        <v>3</v>
      </c>
      <c r="D164" s="86" t="inlineStr">
        <is>
          <t>商談後に追加質問を送った後の回答返信速度</t>
        </is>
      </c>
      <c r="E164" s="74" t="n"/>
      <c r="F164" s="75" t="n"/>
      <c r="G164" s="48" t="n"/>
      <c r="H164" s="92">
        <f>IF(G164="〇", 1, IF(G164="△", 0.5, 0))</f>
        <v/>
      </c>
      <c r="I164" s="86" t="inlineStr">
        <is>
          <t>〇：6時間以内
△：24時間以内
✕：24時間以上</t>
        </is>
      </c>
      <c r="J164" s="92" t="n"/>
    </row>
    <row r="165" ht="14" customHeight="1" s="135">
      <c r="A165" s="69" t="inlineStr">
        <is>
          <t>商談後フォロー</t>
        </is>
      </c>
      <c r="B165" s="84" t="n"/>
      <c r="C165" s="67" t="n">
        <v>4</v>
      </c>
      <c r="D165" s="86" t="inlineStr">
        <is>
          <t>商談で区切った検討期限日時にフォローの連絡があったか</t>
        </is>
      </c>
      <c r="E165" s="74" t="n"/>
      <c r="F165" s="75" t="n"/>
      <c r="G165" s="48" t="n"/>
      <c r="H165" s="92">
        <f>IF(G165="〇", 1, IF(G165="△", 0.5, 0))</f>
        <v/>
      </c>
      <c r="I165" s="92" t="n"/>
      <c r="J165" s="92" t="n"/>
    </row>
    <row r="166" ht="14" customHeight="1" s="135">
      <c r="A166" s="69" t="n"/>
      <c r="B166" s="85" t="n"/>
      <c r="C166" s="67" t="n">
        <v>5</v>
      </c>
      <c r="D166" s="86" t="inlineStr">
        <is>
          <t>営業資料だけではなく事例や提案資料など検討材料になりえる資料の共有があったか</t>
        </is>
      </c>
      <c r="E166" s="74" t="n"/>
      <c r="F166" s="75" t="n"/>
      <c r="G166" s="48" t="n"/>
      <c r="H166" s="92">
        <f>IF(G166="〇", 1, IF(G166="△", 0.5, 0))</f>
        <v/>
      </c>
      <c r="I166" s="92" t="n"/>
      <c r="J166" s="92" t="n"/>
    </row>
    <row r="167" ht="14" customHeight="1" s="135">
      <c r="A167" s="69" t="n"/>
      <c r="B167" s="101" t="inlineStr">
        <is>
          <t>全体評価</t>
        </is>
      </c>
      <c r="C167" s="67" t="n">
        <v>6</v>
      </c>
      <c r="D167" s="86" t="inlineStr">
        <is>
          <t>会社自体に信頼性を感じることができたか？</t>
        </is>
      </c>
      <c r="E167" s="74" t="n"/>
      <c r="F167" s="75" t="n"/>
      <c r="G167" s="48" t="n"/>
      <c r="H167" s="92">
        <f>IF(G167="〇", 1, IF(G167="△", 0.5, 0))</f>
        <v/>
      </c>
      <c r="I167" s="92" t="n"/>
      <c r="J167" s="92" t="n"/>
    </row>
    <row r="168" ht="14" customHeight="1" s="135">
      <c r="A168" s="69" t="n"/>
      <c r="B168" s="84" t="n"/>
      <c r="C168" s="67" t="n">
        <v>7</v>
      </c>
      <c r="D168" s="86" t="inlineStr">
        <is>
          <t>サービス自体に信頼性を持てると感じることはできたか？</t>
        </is>
      </c>
      <c r="E168" s="74" t="n"/>
      <c r="F168" s="75" t="n"/>
      <c r="G168" s="48" t="n"/>
      <c r="H168" s="92">
        <f>IF(G168="〇", 1, IF(G168="△", 0.5, 0))</f>
        <v/>
      </c>
      <c r="I168" s="92" t="n"/>
      <c r="J168" s="92" t="n"/>
    </row>
    <row r="169" ht="14" customHeight="1" s="135">
      <c r="A169" s="69" t="n"/>
      <c r="B169" s="84" t="n"/>
      <c r="C169" s="67" t="n">
        <v>8</v>
      </c>
      <c r="D169" s="86" t="inlineStr">
        <is>
          <t>営業マンの対応は正直かつ誠実で好印象を持つことはできたか？</t>
        </is>
      </c>
      <c r="E169" s="74" t="n"/>
      <c r="F169" s="75" t="n"/>
      <c r="G169" s="48" t="n"/>
      <c r="H169" s="92">
        <f>IF(G169="〇", 1, IF(G169="△", 0.5, 0))</f>
        <v/>
      </c>
      <c r="I169" s="92" t="n"/>
      <c r="J169" s="92" t="n"/>
    </row>
    <row r="170" ht="14" customHeight="1" s="135">
      <c r="A170" s="69" t="n"/>
      <c r="B170" s="84" t="n"/>
      <c r="C170" s="67" t="n">
        <v>9</v>
      </c>
      <c r="D170" s="86" t="inlineStr">
        <is>
          <t>相手の立場にたった商談だったと評価することはできるか？</t>
        </is>
      </c>
      <c r="E170" s="74" t="n"/>
      <c r="F170" s="75" t="n"/>
      <c r="G170" s="48" t="n"/>
      <c r="H170" s="92">
        <f>IF(G170="〇", 1, IF(G170="△", 0.5, 0))</f>
        <v/>
      </c>
      <c r="I170" s="92" t="n"/>
      <c r="J170" s="92" t="n"/>
    </row>
    <row r="171" ht="14" customHeight="1" s="135">
      <c r="A171" s="69" t="n"/>
      <c r="B171" s="84" t="n"/>
      <c r="C171" s="67" t="n">
        <v>10</v>
      </c>
      <c r="D171" s="86" t="inlineStr">
        <is>
          <t>サービス内容はわかりやすく、商談の時間で理解しきることはできたか？</t>
        </is>
      </c>
      <c r="E171" s="74" t="n"/>
      <c r="F171" s="75" t="n"/>
      <c r="G171" s="48" t="n"/>
      <c r="H171" s="92">
        <f>IF(G171="〇", 1, IF(G171="△", 0.5, 0))</f>
        <v/>
      </c>
      <c r="I171" s="92" t="n"/>
      <c r="J171" s="92" t="n"/>
    </row>
    <row r="172" ht="14" customHeight="1" s="135">
      <c r="A172" s="69" t="n"/>
      <c r="B172" s="85" t="n"/>
      <c r="C172" s="67" t="n">
        <v>11</v>
      </c>
      <c r="D172" s="86" t="inlineStr">
        <is>
          <t>営業代行会社への発注をしている企業に勧めたいと思えたか？</t>
        </is>
      </c>
      <c r="E172" s="74" t="n"/>
      <c r="F172" s="75" t="n"/>
      <c r="G172" s="48" t="n"/>
      <c r="H172" s="92">
        <f>IF(G172="〇", 1, IF(G172="△", 0.5, 0))</f>
        <v/>
      </c>
      <c r="I172" s="92" t="n"/>
      <c r="J172" s="92" t="n"/>
    </row>
  </sheetData>
  <mergeCells count="197">
    <mergeCell ref="B11:D11"/>
    <mergeCell ref="C44:E44"/>
    <mergeCell ref="D76:F76"/>
    <mergeCell ref="B75:B78"/>
    <mergeCell ref="B162:B166"/>
    <mergeCell ref="D116:F116"/>
    <mergeCell ref="B153:B160"/>
    <mergeCell ref="C40:E40"/>
    <mergeCell ref="D75:F75"/>
    <mergeCell ref="D166:F166"/>
    <mergeCell ref="B123:B125"/>
    <mergeCell ref="D102:F102"/>
    <mergeCell ref="A41:B41"/>
    <mergeCell ref="D168:F168"/>
    <mergeCell ref="D165:F165"/>
    <mergeCell ref="F33:J33"/>
    <mergeCell ref="D143:F143"/>
    <mergeCell ref="D92:F92"/>
    <mergeCell ref="D152:F152"/>
    <mergeCell ref="B6:D6"/>
    <mergeCell ref="A130:A160"/>
    <mergeCell ref="D133:F133"/>
    <mergeCell ref="D142:F142"/>
    <mergeCell ref="D94:F94"/>
    <mergeCell ref="D129:F129"/>
    <mergeCell ref="I42:J42"/>
    <mergeCell ref="B72:B74"/>
    <mergeCell ref="B4:D4"/>
    <mergeCell ref="A42:B42"/>
    <mergeCell ref="A16:D16"/>
    <mergeCell ref="D144:F144"/>
    <mergeCell ref="C34:E34"/>
    <mergeCell ref="A35:B35"/>
    <mergeCell ref="C42:E42"/>
    <mergeCell ref="F43:G43"/>
    <mergeCell ref="I44:J44"/>
    <mergeCell ref="D119:F119"/>
    <mergeCell ref="D128:F128"/>
    <mergeCell ref="D159:F159"/>
    <mergeCell ref="B83:B90"/>
    <mergeCell ref="D80:F80"/>
    <mergeCell ref="B120:B122"/>
    <mergeCell ref="D96:F96"/>
    <mergeCell ref="D105:F105"/>
    <mergeCell ref="A39:B39"/>
    <mergeCell ref="D170:F170"/>
    <mergeCell ref="B140:B152"/>
    <mergeCell ref="D120:F120"/>
    <mergeCell ref="A48:J49"/>
    <mergeCell ref="D154:F154"/>
    <mergeCell ref="I46:J46"/>
    <mergeCell ref="B8:D8"/>
    <mergeCell ref="D107:F107"/>
    <mergeCell ref="F34:G34"/>
    <mergeCell ref="A45:B45"/>
    <mergeCell ref="D163:F163"/>
    <mergeCell ref="D91:F91"/>
    <mergeCell ref="D147:F147"/>
    <mergeCell ref="D162:F162"/>
    <mergeCell ref="A161:J161"/>
    <mergeCell ref="D156:F156"/>
    <mergeCell ref="D171:F171"/>
    <mergeCell ref="C46:E46"/>
    <mergeCell ref="B10:D10"/>
    <mergeCell ref="D106:F106"/>
    <mergeCell ref="D137:F137"/>
    <mergeCell ref="D146:F146"/>
    <mergeCell ref="D93:F93"/>
    <mergeCell ref="C39:E39"/>
    <mergeCell ref="I41:J41"/>
    <mergeCell ref="A37:B37"/>
    <mergeCell ref="F45:G45"/>
    <mergeCell ref="A46:B46"/>
    <mergeCell ref="B9:D9"/>
    <mergeCell ref="F42:G42"/>
    <mergeCell ref="D74:F74"/>
    <mergeCell ref="D130:F130"/>
    <mergeCell ref="D83:F83"/>
    <mergeCell ref="A82:J82"/>
    <mergeCell ref="D117:F117"/>
    <mergeCell ref="D157:F157"/>
    <mergeCell ref="C38:E38"/>
    <mergeCell ref="I43:J43"/>
    <mergeCell ref="B5:D5"/>
    <mergeCell ref="B91:B95"/>
    <mergeCell ref="D132:F132"/>
    <mergeCell ref="D110:F110"/>
    <mergeCell ref="D85:F85"/>
    <mergeCell ref="F46:G46"/>
    <mergeCell ref="B117:B119"/>
    <mergeCell ref="D100:F100"/>
    <mergeCell ref="D109:F109"/>
    <mergeCell ref="F39:G39"/>
    <mergeCell ref="I35:J35"/>
    <mergeCell ref="B126:B129"/>
    <mergeCell ref="D158:F158"/>
    <mergeCell ref="D111:F111"/>
    <mergeCell ref="F44:G44"/>
    <mergeCell ref="C35:E35"/>
    <mergeCell ref="D108:F108"/>
    <mergeCell ref="D86:F86"/>
    <mergeCell ref="D95:F95"/>
    <mergeCell ref="A34:B34"/>
    <mergeCell ref="D104:F104"/>
    <mergeCell ref="D160:F160"/>
    <mergeCell ref="B14:D14"/>
    <mergeCell ref="D136:F136"/>
    <mergeCell ref="B1:D1"/>
    <mergeCell ref="D150:F150"/>
    <mergeCell ref="D145:F145"/>
    <mergeCell ref="D97:F97"/>
    <mergeCell ref="B13:D13"/>
    <mergeCell ref="A36:B36"/>
    <mergeCell ref="I45:J45"/>
    <mergeCell ref="D78:F78"/>
    <mergeCell ref="D87:F87"/>
    <mergeCell ref="C36:E36"/>
    <mergeCell ref="B167:B172"/>
    <mergeCell ref="D122:F122"/>
    <mergeCell ref="F36:G36"/>
    <mergeCell ref="I37:J37"/>
    <mergeCell ref="D121:F121"/>
    <mergeCell ref="A50:J68"/>
    <mergeCell ref="D73:F73"/>
    <mergeCell ref="D164:F164"/>
    <mergeCell ref="D113:F113"/>
    <mergeCell ref="C37:E37"/>
    <mergeCell ref="A17:D31"/>
    <mergeCell ref="D148:F148"/>
    <mergeCell ref="D123:F123"/>
    <mergeCell ref="D115:F115"/>
    <mergeCell ref="B130:B134"/>
    <mergeCell ref="D138:F138"/>
    <mergeCell ref="D172:F172"/>
    <mergeCell ref="D99:F99"/>
    <mergeCell ref="A38:B38"/>
    <mergeCell ref="A43:B43"/>
    <mergeCell ref="D84:F84"/>
    <mergeCell ref="D140:F140"/>
    <mergeCell ref="D155:F155"/>
    <mergeCell ref="D149:F149"/>
    <mergeCell ref="H34:J34"/>
    <mergeCell ref="A72:A81"/>
    <mergeCell ref="D101:F101"/>
    <mergeCell ref="A40:B40"/>
    <mergeCell ref="D124:F124"/>
    <mergeCell ref="B12:D12"/>
    <mergeCell ref="D77:F77"/>
    <mergeCell ref="D151:F151"/>
    <mergeCell ref="C41:E41"/>
    <mergeCell ref="D126:F126"/>
    <mergeCell ref="D141:F141"/>
    <mergeCell ref="D70:F70"/>
    <mergeCell ref="D135:F135"/>
    <mergeCell ref="I36:J36"/>
    <mergeCell ref="F40:G40"/>
    <mergeCell ref="C43:E43"/>
    <mergeCell ref="D125:F125"/>
    <mergeCell ref="D72:F72"/>
    <mergeCell ref="D103:F103"/>
    <mergeCell ref="D134:F134"/>
    <mergeCell ref="D112:F112"/>
    <mergeCell ref="D118:F118"/>
    <mergeCell ref="D167:F167"/>
    <mergeCell ref="D127:F127"/>
    <mergeCell ref="B79:B81"/>
    <mergeCell ref="B15:D15"/>
    <mergeCell ref="D114:F114"/>
    <mergeCell ref="F41:G41"/>
    <mergeCell ref="F35:G35"/>
    <mergeCell ref="B105:B116"/>
    <mergeCell ref="D89:F89"/>
    <mergeCell ref="D98:F98"/>
    <mergeCell ref="B135:B139"/>
    <mergeCell ref="D169:F169"/>
    <mergeCell ref="F38:G38"/>
    <mergeCell ref="D79:F79"/>
    <mergeCell ref="A33:E33"/>
    <mergeCell ref="D88:F88"/>
    <mergeCell ref="D153:F153"/>
    <mergeCell ref="I39:J39"/>
    <mergeCell ref="B7:D7"/>
    <mergeCell ref="I1:J1"/>
    <mergeCell ref="D81:F81"/>
    <mergeCell ref="F37:G37"/>
    <mergeCell ref="B3:D3"/>
    <mergeCell ref="D90:F90"/>
    <mergeCell ref="I38:J38"/>
    <mergeCell ref="A83:A104"/>
    <mergeCell ref="C45:E45"/>
    <mergeCell ref="A105:A129"/>
    <mergeCell ref="D131:F131"/>
    <mergeCell ref="A44:B44"/>
    <mergeCell ref="D139:F139"/>
    <mergeCell ref="I40:J40"/>
    <mergeCell ref="B2:D2"/>
    <mergeCell ref="A71:J71"/>
  </mergeCells>
  <conditionalFormatting sqref="G72:G81 G83:G160 G162:G172">
    <cfRule type="cellIs" priority="1" operator="equal" dxfId="0">
      <formula>"✕"</formula>
    </cfRule>
  </conditionalFormatting>
  <dataValidations count="1">
    <dataValidation sqref="G72:G81 G83:G160 G162:G172" showDropDown="0" showInputMessage="0" showErrorMessage="0" allowBlank="1" type="list">
      <formula1>"〇,△,✕"</formula1>
    </dataValidation>
  </dataValidations>
  <hyperlinks>
    <hyperlink xmlns:r="http://schemas.openxmlformats.org/officeDocument/2006/relationships" ref="B3" r:id="rId1"/>
    <hyperlink xmlns:r="http://schemas.openxmlformats.org/officeDocument/2006/relationships" ref="B7" r:id="rId2"/>
    <hyperlink xmlns:r="http://schemas.openxmlformats.org/officeDocument/2006/relationships" ref="B8" r:id="rId3"/>
    <hyperlink xmlns:r="http://schemas.openxmlformats.org/officeDocument/2006/relationships" ref="B9" r:id="rId4"/>
    <hyperlink xmlns:r="http://schemas.openxmlformats.org/officeDocument/2006/relationships" ref="I153" r:id="rId5"/>
  </hyperlinks>
  <printOptions horizontalCentered="1" gridLines="1"/>
  <pageMargins left="0.7" right="0.7" top="0.75" bottom="0.75" header="0" footer="0"/>
  <pageSetup orientation="portrait" paperSize="9" fitToHeight="0" pageOrder="overThenDown" cellComments="atEnd"/>
  <drawing xmlns:r="http://schemas.openxmlformats.org/officeDocument/2006/relationships" r:id="rId6"/>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2026-02-13T01:45:28Z</dcterms:created>
  <dcterms:modified xmlns:dcterms="http://purl.org/dc/terms/" xmlns:xsi="http://www.w3.org/2001/XMLSchema-instance" xsi:type="dcterms:W3CDTF">2026-02-13T02:50:13Z</dcterms:modified>
  <cp:lastModifiedBy>学斗 藤本</cp:lastModifiedBy>
</cp:coreProperties>
</file>